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f657ddb1f84923" /></Relationships>
</file>

<file path=xl/workbook.xml><?xml version="1.0" encoding="utf-8"?>
<x:workbook xmlns:x="http://schemas.openxmlformats.org/spreadsheetml/2006/main">
  <x:sheets>
    <x:sheet xmlns:r="http://schemas.openxmlformats.org/officeDocument/2006/relationships" name="Start Here" sheetId="1" r:id="Refdcd1990d8c4f2a"/>
    <x:sheet xmlns:r="http://schemas.openxmlformats.org/officeDocument/2006/relationships" name="Calculator" sheetId="2" r:id="Rfa6c7dcb8929450e"/>
    <x:sheet xmlns:r="http://schemas.openxmlformats.org/officeDocument/2006/relationships" name="Metric Catalog" sheetId="3" r:id="R5531610bf1294613"/>
    <x:sheet xmlns:r="http://schemas.openxmlformats.org/officeDocument/2006/relationships" name="Scenario Summary" sheetId="4" r:id="R10d805dd75654040"/>
    <x:sheet xmlns:r="http://schemas.openxmlformats.org/officeDocument/2006/relationships" name="Splunk O11y Check" sheetId="5" r:id="Rbe9db8465e164a24"/>
    <x:sheet xmlns:r="http://schemas.openxmlformats.org/officeDocument/2006/relationships" name="Scenario NX-OS" sheetId="6" r:id="Re07b9568d8ed4d25"/>
    <x:sheet xmlns:r="http://schemas.openxmlformats.org/officeDocument/2006/relationships" name="Scenario IOS XE" sheetId="7" r:id="Rd48159a7f4f74c0f"/>
    <x:sheet xmlns:r="http://schemas.openxmlformats.org/officeDocument/2006/relationships" name="Scenario Meraki" sheetId="8" r:id="R40cc9daae2f240ae"/>
    <x:sheet xmlns:r="http://schemas.openxmlformats.org/officeDocument/2006/relationships" name="Scenario Intersight" sheetId="9" r:id="Rf25797dff8de4bea"/>
    <x:sheet xmlns:r="http://schemas.openxmlformats.org/officeDocument/2006/relationships" name="Scenario Catalyst Center" sheetId="10" r:id="R17dcb56c19c64572"/>
    <x:sheet xmlns:r="http://schemas.openxmlformats.org/officeDocument/2006/relationships" name="Scenario Catalyst 9800" sheetId="11" r:id="R5674c49641cc4929"/>
    <x:sheet xmlns:r="http://schemas.openxmlformats.org/officeDocument/2006/relationships" name="Scenario SD-WAN" sheetId="12" r:id="R2c3a2b72939f4756"/>
    <x:sheet xmlns:r="http://schemas.openxmlformats.org/officeDocument/2006/relationships" name="Scenario Nexus Dashboard" sheetId="13" r:id="Rc2b15365041e4245"/>
    <x:sheet xmlns:r="http://schemas.openxmlformats.org/officeDocument/2006/relationships" name="Scenario ACI" sheetId="14" r:id="R0138f3ded023486c"/>
    <x:sheet xmlns:r="http://schemas.openxmlformats.org/officeDocument/2006/relationships" name="Scenario FMC" sheetId="15" r:id="R689737f8998242a6"/>
    <x:sheet xmlns:r="http://schemas.openxmlformats.org/officeDocument/2006/relationships" name="Scenario ISE" sheetId="16" r:id="R839142b3e1f440dd"/>
    <x:sheet xmlns:r="http://schemas.openxmlformats.org/officeDocument/2006/relationships" name="Scenario IOS XR" sheetId="17" r:id="R692442a2ff8c47b9"/>
    <x:sheet xmlns:r="http://schemas.openxmlformats.org/officeDocument/2006/relationships" name="Notes" sheetId="18" r:id="R060df9442d0442fb"/>
    <x:sheet xmlns:r="http://schemas.openxmlformats.org/officeDocument/2006/relationships" name="Coverage Audit" sheetId="19" r:id="R8ef1c9c9c7e347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8"/>
      <x:color rgb="FFFFFFFF"/>
      <x:name val="Carlito"/>
    </x:font>
    <x:font>
      <x:i/>
      <x:sz val="11"/>
      <x:color rgb="FF1F4E79"/>
      <x:name val="Carlito"/>
    </x:font>
    <x:font>
      <x:b/>
      <x:sz val="11"/>
      <x:color rgb="FFFFFFFF"/>
      <x:name val="Carlito"/>
    </x:font>
  </x:fonts>
  <x:fills count="6">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5B9BD5"/>
      </x:patternFill>
    </x:fill>
    <x:fill>
      <x:patternFill patternType="solid">
        <x:fgColor rgb="FFFFF2CC"/>
      </x:patternFill>
    </x:fill>
  </x:fills>
  <x:borders count="1">
    <x:border/>
  </x:borders>
  <x:cellStyleXfs count="1">
    <x:xf numFmtId="0" fontId="0" fillId="0" borderId="0"/>
  </x:cellStyleXfs>
  <x:cellXfs count="13">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412cb3cb6445a3" /><Relationship Type="http://schemas.openxmlformats.org/officeDocument/2006/relationships/theme" Target="/xl/theme/theme1.xml" Id="Raa9c5bf35cf94b8f" /><Relationship Type="http://schemas.openxmlformats.org/officeDocument/2006/relationships/sharedStrings" Target="/xl/sharedStrings.xml" Id="R797d2dac7cea45ad" /><Relationship Type="http://schemas.openxmlformats.org/officeDocument/2006/relationships/worksheet" Target="/xl/worksheets/sheet1.xml" Id="Refdcd1990d8c4f2a" /><Relationship Type="http://schemas.openxmlformats.org/officeDocument/2006/relationships/worksheet" Target="/xl/worksheets/sheet2.xml" Id="Rfa6c7dcb8929450e" /><Relationship Type="http://schemas.openxmlformats.org/officeDocument/2006/relationships/worksheet" Target="/xl/worksheets/sheet3.xml" Id="R5531610bf1294613" /><Relationship Type="http://schemas.openxmlformats.org/officeDocument/2006/relationships/worksheet" Target="/xl/worksheets/sheet4.xml" Id="R10d805dd75654040" /><Relationship Type="http://schemas.openxmlformats.org/officeDocument/2006/relationships/worksheet" Target="/xl/worksheets/sheet5.xml" Id="Rbe9db8465e164a24" /><Relationship Type="http://schemas.openxmlformats.org/officeDocument/2006/relationships/worksheet" Target="/xl/worksheets/sheet6.xml" Id="Re07b9568d8ed4d25" /><Relationship Type="http://schemas.openxmlformats.org/officeDocument/2006/relationships/worksheet" Target="/xl/worksheets/sheet7.xml" Id="Rd48159a7f4f74c0f" /><Relationship Type="http://schemas.openxmlformats.org/officeDocument/2006/relationships/worksheet" Target="/xl/worksheets/sheet8.xml" Id="R40cc9daae2f240ae" /><Relationship Type="http://schemas.openxmlformats.org/officeDocument/2006/relationships/worksheet" Target="/xl/worksheets/sheet9.xml" Id="Rf25797dff8de4bea" /><Relationship Type="http://schemas.openxmlformats.org/officeDocument/2006/relationships/worksheet" Target="/xl/worksheets/sheet10.xml" Id="R17dcb56c19c64572" /><Relationship Type="http://schemas.openxmlformats.org/officeDocument/2006/relationships/worksheet" Target="/xl/worksheets/sheet11.xml" Id="R5674c49641cc4929" /><Relationship Type="http://schemas.openxmlformats.org/officeDocument/2006/relationships/worksheet" Target="/xl/worksheets/sheet12.xml" Id="R2c3a2b72939f4756" /><Relationship Type="http://schemas.openxmlformats.org/officeDocument/2006/relationships/worksheet" Target="/xl/worksheets/sheet13.xml" Id="Rc2b15365041e4245" /><Relationship Type="http://schemas.openxmlformats.org/officeDocument/2006/relationships/worksheet" Target="/xl/worksheets/sheet14.xml" Id="R0138f3ded023486c" /><Relationship Type="http://schemas.openxmlformats.org/officeDocument/2006/relationships/worksheet" Target="/xl/worksheets/sheet15.xml" Id="R689737f8998242a6" /><Relationship Type="http://schemas.openxmlformats.org/officeDocument/2006/relationships/worksheet" Target="/xl/worksheets/sheet16.xml" Id="R839142b3e1f440dd" /><Relationship Type="http://schemas.openxmlformats.org/officeDocument/2006/relationships/worksheet" Target="/xl/worksheets/sheet17.xml" Id="R692442a2ff8c47b9" /><Relationship Type="http://schemas.openxmlformats.org/officeDocument/2006/relationships/worksheet" Target="/xl/worksheets/sheet18.xml" Id="R060df9442d0442fb" /><Relationship Type="http://schemas.openxmlformats.org/officeDocument/2006/relationships/worksheet" Target="/xl/worksheets/sheet19.xml" Id="R8ef1c9c9c7e347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6161d169cc440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100-unit Active MTS By Platform</a:t>
            </a:r>
          </a:p>
        </c:rich>
      </c:tx>
      <c:overlay val="0"/>
    </c:title>
    <c:autoTitleDeleted val="0"/>
    <c:plotArea>
      <c:layout/>
      <c:barChart>
        <c:barDir val="col"/>
        <c:grouping val="clustered"/>
        <c:varyColors val="0"/>
        <c:ser>
          <c:idx val="0"/>
          <c:order val="0"/>
          <c:tx>
            <c:v>Series 1</c:v>
          </c:tx>
          <c:cat>
            <c:strRef>
              <c:f>'Scenario Summary'!$J$6:$J$17</c:f>
              <c:strCache>
                <c:ptCount val="0"/>
              </c:strCache>
            </c:strRef>
          </c:cat>
          <c:val>
            <c:numRef>
              <c:f>'Scenario Summary'!$K$6:$K$17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18</xdr:row>
      <xdr:rowOff>0</xdr:rowOff>
    </xdr:from>
    <xdr:ext cx="495300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6161d169cc4401"/>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c05a99eb2a1e47d5" /></Relationships>
</file>

<file path=xl/worksheets/sheet1.xml><?xml version="1.0" encoding="utf-8"?>
<x:worksheet xmlns:x="http://schemas.openxmlformats.org/spreadsheetml/2006/main">
  <x:sheetFormatPr defaultRowHeight="15"/>
  <x:cols>
    <x:col min="1" max="1" width="16.670000076293945" hidden="0" customWidth="1"/>
    <x:col min="2" max="2" width="25.559999465942383" hidden="0" customWidth="1"/>
    <x:col min="3" max="3" width="10" hidden="0" customWidth="1"/>
    <x:col min="4" max="4" width="15.5600004196167" hidden="0" customWidth="1"/>
    <x:col min="5" max="5" width="10" hidden="0" customWidth="1"/>
    <x:col min="6" max="6" width="15.5600004196167" hidden="0" customWidth="1"/>
    <x:col min="7" max="7" width="11.670000076293945"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Cisco OS Metric Volume Calculator</x:v>
      </x:c>
      <x:c r="B1" s="4" t="str">
        <x:v>Cisco OS Metric Volume Calculator</x:v>
      </x:c>
      <x:c r="C1" s="4" t="str">
        <x:v>Cisco OS Metric Volume Calculator</x:v>
      </x:c>
      <x:c r="D1" s="4" t="str">
        <x:v>Cisco OS Metric Volume Calculator</x:v>
      </x:c>
      <x:c r="E1" s="4" t="str">
        <x:v>Cisco OS Metric Volume Calculator</x:v>
      </x:c>
      <x:c r="F1" s="4" t="str">
        <x:v>Cisco OS Metric Volume Calculator</x:v>
      </x:c>
      <x:c r="G1" s="4" t="str">
        <x:v>Cisco OS Metric Volume Calculator</x:v>
      </x:c>
      <x:c r="H1" s="4" t="str">
        <x:v>Cisco OS Metric Volume Calculator</x:v>
      </x:c>
      <x:c r="I1" s="4" t="str">
        <x:v>Cisco OS Metric Volume Calculator</x:v>
      </x:c>
    </x:row>
    <x:row r="2">
      <x:c r="A2" s="6" t="str">
        <x:v>Estimate additional Splunk Observability Cloud MTS and metric data points before enabling Cisco OS SSH, API, controller, security, identity, wireless, WAN, and gNMI/MDT collection.</x:v>
      </x:c>
      <x:c r="B2" s="6" t="str">
        <x:v>Estimate additional Splunk Observability Cloud MTS and metric data points before enabling Cisco OS SSH, API, controller, security, identity, wireless, WAN, and gNMI/MDT collection.</x:v>
      </x:c>
      <x:c r="C2" s="6" t="str">
        <x:v>Estimate additional Splunk Observability Cloud MTS and metric data points before enabling Cisco OS SSH, API, controller, security, identity, wireless, WAN, and gNMI/MDT collection.</x:v>
      </x:c>
      <x:c r="D2" s="6" t="str">
        <x:v>Estimate additional Splunk Observability Cloud MTS and metric data points before enabling Cisco OS SSH, API, controller, security, identity, wireless, WAN, and gNMI/MDT collection.</x:v>
      </x:c>
      <x:c r="E2" s="6" t="str">
        <x:v>Estimate additional Splunk Observability Cloud MTS and metric data points before enabling Cisco OS SSH, API, controller, security, identity, wireless, WAN, and gNMI/MDT collection.</x:v>
      </x:c>
      <x:c r="F2" s="6" t="str">
        <x:v>Estimate additional Splunk Observability Cloud MTS and metric data points before enabling Cisco OS SSH, API, controller, security, identity, wireless, WAN, and gNMI/MDT collection.</x:v>
      </x:c>
      <x:c r="G2" s="6" t="str">
        <x:v>Estimate additional Splunk Observability Cloud MTS and metric data points before enabling Cisco OS SSH, API, controller, security, identity, wireless, WAN, and gNMI/MDT collection.</x:v>
      </x:c>
      <x:c r="H2" s="6" t="str">
        <x:v>Estimate additional Splunk Observability Cloud MTS and metric data points before enabling Cisco OS SSH, API, controller, security, identity, wireless, WAN, and gNMI/MDT collection.</x:v>
      </x:c>
      <x:c r="I2" s="6" t="str">
        <x:v>Estimate additional Splunk Observability Cloud MTS and metric data points before enabling Cisco OS SSH, API, controller, security, identity, wireless, WAN, and gNMI/MDT collection.</x:v>
      </x:c>
    </x:row>
    <x:row r="3">
      <x:c r="A3" s="2"/>
      <x:c r="B3" s="2"/>
      <x:c r="C3" s="2"/>
      <x:c r="D3" s="2"/>
      <x:c r="E3" s="2"/>
      <x:c r="F3" s="2"/>
      <x:c r="G3" s="2"/>
      <x:c r="H3" s="2"/>
      <x:c r="I3" s="2"/>
    </x:row>
    <x:row r="4">
      <x:c r="A4" s="2"/>
      <x:c r="B4" s="2"/>
      <x:c r="C4" s="2"/>
      <x:c r="D4" s="2"/>
      <x:c r="E4" s="2"/>
      <x:c r="F4" s="2"/>
      <x:c r="G4" s="2"/>
      <x:c r="H4" s="2"/>
      <x:c r="I4" s="2"/>
    </x:row>
    <x:row r="5">
      <x:c r="A5" s="9" t="str">
        <x:v>Global Inputs</x:v>
      </x:c>
      <x:c r="B5" s="9"/>
      <x:c r="C5" s="2"/>
      <x:c r="D5" s="9" t="str">
        <x:v>Estimated Additions</x:v>
      </x:c>
      <x:c r="E5" s="9" t="str">
        <x:v>Value</x:v>
      </x:c>
      <x:c r="F5" s="2"/>
      <x:c r="G5" s="9" t="str">
        <x:v>What This Estimates</x:v>
      </x:c>
      <x:c r="H5" s="9"/>
      <x:c r="I5" s="9"/>
    </x:row>
    <x:row r="6">
      <x:c r="A6" s="2" t="str">
        <x:v>Collection interval seconds</x:v>
      </x:c>
      <x:c r="B6" s="11" t="n">
        <x:v>60</x:v>
      </x:c>
      <x:c r="C6" s="2"/>
      <x:c r="D6" s="2" t="str">
        <x:v>Active MTS / scrape</x:v>
      </x:c>
      <x:c r="E6" s="12" t="n">
        <x:f>SUM(Calculator!$J$6:$J$96)</x:f>
        <x:v>8400</x:v>
      </x:c>
      <x:c r="F6" s="2"/>
      <x:c r="G6" s="2" t="str">
        <x:v>Active MTS</x:v>
      </x:c>
      <x:c r="H6" s="2" t="str">
        <x:v>Unique Splunk metric time series identified by metric name, metric type, and dimensions emitted in one scrape.</x:v>
      </x:c>
      <x:c r="I6" s="2"/>
    </x:row>
    <x:row r="7">
      <x:c r="A7" s="2" t="str">
        <x:v>Days per month</x:v>
      </x:c>
      <x:c r="B7" s="11" t="n">
        <x:v>30.4375</x:v>
      </x:c>
      <x:c r="C7" s="2"/>
      <x:c r="D7" s="2" t="str">
        <x:v>Metric datapoints / minute</x:v>
      </x:c>
      <x:c r="E7" s="12" t="n">
        <x:f>SUM(Calculator!$K$6:$K$96)</x:f>
        <x:v>8400</x:v>
      </x:c>
      <x:c r="F7" s="2"/>
      <x:c r="G7" s="2" t="str">
        <x:v>Metric datapoints</x:v>
      </x:c>
      <x:c r="H7" s="2" t="str">
        <x:v>Active MTS multiplied by scrape frequency. Formula: active MTS x 60 / interval for datapoints per minute.</x:v>
      </x:c>
      <x:c r="I7" s="2"/>
    </x:row>
    <x:row r="8">
      <x:c r="A8" s="2" t="str">
        <x:v>Existing active MTS baseline</x:v>
      </x:c>
      <x:c r="B8" s="11" t="n">
        <x:v>0</x:v>
      </x:c>
      <x:c r="C8" s="2"/>
      <x:c r="D8" s="2" t="str">
        <x:v>Metric datapoints / day</x:v>
      </x:c>
      <x:c r="E8" s="12" t="n">
        <x:f>SUM(Calculator!$L$6:$L$96)</x:f>
        <x:v>12096000</x:v>
      </x:c>
      <x:c r="F8" s="2"/>
      <x:c r="G8" s="2" t="str">
        <x:v>Distinct metric names</x:v>
      </x:c>
      <x:c r="H8" s="2" t="str">
        <x:v>Useful for cataloging, but it is usually not the sizing driver.</x:v>
      </x:c>
      <x:c r="I8" s="2"/>
    </x:row>
    <x:row r="9">
      <x:c r="A9" s="2" t="str">
        <x:v>Existing monthly datapoints baseline</x:v>
      </x:c>
      <x:c r="B9" s="11" t="n">
        <x:v>0</x:v>
      </x:c>
      <x:c r="C9" s="2"/>
      <x:c r="D9" s="2" t="str">
        <x:v>Metric datapoints / month</x:v>
      </x:c>
      <x:c r="E9" s="12" t="n">
        <x:f>SUM(Calculator!$M$6:$M$96)</x:f>
        <x:v>368172000</x:v>
      </x:c>
      <x:c r="F9" s="2"/>
      <x:c r="G9" s="2" t="str">
        <x:v>Logs</x:v>
      </x:c>
      <x:c r="H9" s="2" t="str">
        <x:v>Operational logs from Intersight, SD-WAN, ACI, FMC, ISE, and eStreamer are not included in metric datapoint totals.</x:v>
      </x:c>
      <x:c r="I9" s="2"/>
    </x:row>
    <x:row r="10">
      <x:c r="A10" s="2"/>
      <x:c r="B10" s="2"/>
      <x:c r="C10" s="2"/>
      <x:c r="D10" s="2" t="str">
        <x:v>Additional active MTS vs baseline</x:v>
      </x:c>
      <x:c r="E10" s="12" t="n">
        <x:f>MAX(0,E6-$B$8)</x:f>
        <x:v>8400</x:v>
      </x:c>
      <x:c r="F10" s="2"/>
      <x:c r="G10" s="2"/>
      <x:c r="H10" s="2"/>
      <x:c r="I10" s="2"/>
    </x:row>
    <x:row r="11">
      <x:c r="A11" s="2"/>
      <x:c r="B11" s="2"/>
      <x:c r="C11" s="2"/>
      <x:c r="D11" s="2" t="str">
        <x:v>Additional monthly datapoints vs baseline</x:v>
      </x:c>
      <x:c r="E11" s="12" t="n">
        <x:f>MAX(0,E9-$B$9)</x:f>
        <x:v>368172000</x:v>
      </x:c>
      <x:c r="F11" s="2"/>
      <x:c r="G11" s="2"/>
      <x:c r="H11" s="2"/>
      <x:c r="I11" s="2"/>
    </x:row>
    <x:row r="12">
      <x:c r="A12" s="2"/>
      <x:c r="B12" s="2"/>
      <x:c r="C12" s="2"/>
      <x:c r="D12" s="2"/>
      <x:c r="E12" s="2"/>
      <x:c r="F12" s="2"/>
      <x:c r="G12" s="2"/>
      <x:c r="H12" s="2"/>
      <x:c r="I12" s="2"/>
    </x:row>
    <x:row r="13">
      <x:c r="A13" s="2"/>
      <x:c r="B13" s="2"/>
      <x:c r="C13" s="2"/>
      <x:c r="D13" s="2"/>
      <x:c r="E13" s="2"/>
      <x:c r="F13" s="2"/>
      <x:c r="G13" s="2"/>
      <x:c r="H13" s="2"/>
      <x:c r="I13" s="2"/>
    </x:row>
    <x:row r="14">
      <x:c r="A14" s="9" t="str">
        <x:v>Area</x:v>
      </x:c>
      <x:c r="B14" s="9" t="str">
        <x:v>Active MTS</x:v>
      </x:c>
      <x:c r="C14" s="9" t="str">
        <x:v>DP / minute</x:v>
      </x:c>
      <x:c r="D14" s="9" t="str">
        <x:v>DP / day</x:v>
      </x:c>
      <x:c r="E14" s="9" t="str">
        <x:v>DP / month</x:v>
      </x:c>
      <x:c r="F14" s="2"/>
      <x:c r="G14" s="2"/>
      <x:c r="H14" s="2"/>
      <x:c r="I14" s="2"/>
    </x:row>
    <x:row r="15">
      <x:c r="A15" s="2" t="str">
        <x:v>SSH</x:v>
      </x:c>
      <x:c r="B15" s="12" t="n">
        <x:f>SUMIFS(Calculator!$J$6:$J$96,Calculator!$A$6:$A$96,"SSH")</x:f>
        <x:v>8400</x:v>
      </x:c>
      <x:c r="C15" s="12" t="n">
        <x:f>SUMIFS(Calculator!$K$6:$K$96,Calculator!$A$6:$A$96,"SSH")</x:f>
        <x:v>8400</x:v>
      </x:c>
      <x:c r="D15" s="12" t="n">
        <x:f>SUMIFS(Calculator!$L$6:$L$96,Calculator!$A$6:$A$96,"SSH")</x:f>
        <x:v>12096000</x:v>
      </x:c>
      <x:c r="E15" s="12" t="n">
        <x:f>SUMIFS(Calculator!$M$6:$M$96,Calculator!$A$6:$A$96,"SSH")</x:f>
        <x:v>368172000</x:v>
      </x:c>
      <x:c r="F15" s="2"/>
      <x:c r="G15" s="2"/>
      <x:c r="H15" s="2"/>
      <x:c r="I15" s="2"/>
    </x:row>
    <x:row r="16">
      <x:c r="A16" s="2" t="str">
        <x:v>Meraki</x:v>
      </x:c>
      <x:c r="B16" s="12" t="n">
        <x:f>SUMIFS(Calculator!$J$6:$J$96,Calculator!$A$6:$A$96,"Meraki")</x:f>
        <x:v>0</x:v>
      </x:c>
      <x:c r="C16" s="12" t="n">
        <x:f>SUMIFS(Calculator!$K$6:$K$96,Calculator!$A$6:$A$96,"Meraki")</x:f>
        <x:v>0</x:v>
      </x:c>
      <x:c r="D16" s="12" t="n">
        <x:f>SUMIFS(Calculator!$L$6:$L$96,Calculator!$A$6:$A$96,"Meraki")</x:f>
        <x:v>0</x:v>
      </x:c>
      <x:c r="E16" s="12" t="n">
        <x:f>SUMIFS(Calculator!$M$6:$M$96,Calculator!$A$6:$A$96,"Meraki")</x:f>
        <x:v>0</x:v>
      </x:c>
      <x:c r="F16" s="2"/>
      <x:c r="G16" s="2"/>
      <x:c r="H16" s="2"/>
      <x:c r="I16" s="2"/>
    </x:row>
    <x:row r="17">
      <x:c r="A17" s="2" t="str">
        <x:v>Intersight</x:v>
      </x:c>
      <x:c r="B17" s="12" t="n">
        <x:f>SUMIFS(Calculator!$J$6:$J$96,Calculator!$A$6:$A$96,"Intersight")</x:f>
        <x:v>0</x:v>
      </x:c>
      <x:c r="C17" s="12" t="n">
        <x:f>SUMIFS(Calculator!$K$6:$K$96,Calculator!$A$6:$A$96,"Intersight")</x:f>
        <x:v>0</x:v>
      </x:c>
      <x:c r="D17" s="12" t="n">
        <x:f>SUMIFS(Calculator!$L$6:$L$96,Calculator!$A$6:$A$96,"Intersight")</x:f>
        <x:v>0</x:v>
      </x:c>
      <x:c r="E17" s="12" t="n">
        <x:f>SUMIFS(Calculator!$M$6:$M$96,Calculator!$A$6:$A$96,"Intersight")</x:f>
        <x:v>0</x:v>
      </x:c>
      <x:c r="F17" s="2"/>
      <x:c r="G17" s="2"/>
      <x:c r="H17" s="2"/>
      <x:c r="I17" s="2"/>
    </x:row>
    <x:row r="18">
      <x:c r="A18" s="2" t="str">
        <x:v>Catalyst Center</x:v>
      </x:c>
      <x:c r="B18" s="12" t="n">
        <x:f>SUMIFS(Calculator!$J$6:$J$96,Calculator!$A$6:$A$96,"Catalyst Center")</x:f>
        <x:v>0</x:v>
      </x:c>
      <x:c r="C18" s="12" t="n">
        <x:f>SUMIFS(Calculator!$K$6:$K$96,Calculator!$A$6:$A$96,"Catalyst Center")</x:f>
        <x:v>0</x:v>
      </x:c>
      <x:c r="D18" s="12" t="n">
        <x:f>SUMIFS(Calculator!$L$6:$L$96,Calculator!$A$6:$A$96,"Catalyst Center")</x:f>
        <x:v>0</x:v>
      </x:c>
      <x:c r="E18" s="12" t="n">
        <x:f>SUMIFS(Calculator!$M$6:$M$96,Calculator!$A$6:$A$96,"Catalyst Center")</x:f>
        <x:v>0</x:v>
      </x:c>
      <x:c r="F18" s="2"/>
      <x:c r="G18" s="2"/>
      <x:c r="H18" s="2"/>
      <x:c r="I18" s="2"/>
    </x:row>
    <x:row r="19">
      <x:c r="A19" s="2" t="str">
        <x:v>Catalyst 9800</x:v>
      </x:c>
      <x:c r="B19" s="12" t="n">
        <x:f>SUMIFS(Calculator!$J$6:$J$96,Calculator!$A$6:$A$96,"Catalyst 9800")</x:f>
        <x:v>0</x:v>
      </x:c>
      <x:c r="C19" s="12" t="n">
        <x:f>SUMIFS(Calculator!$K$6:$K$96,Calculator!$A$6:$A$96,"Catalyst 9800")</x:f>
        <x:v>0</x:v>
      </x:c>
      <x:c r="D19" s="12" t="n">
        <x:f>SUMIFS(Calculator!$L$6:$L$96,Calculator!$A$6:$A$96,"Catalyst 9800")</x:f>
        <x:v>0</x:v>
      </x:c>
      <x:c r="E19" s="12" t="n">
        <x:f>SUMIFS(Calculator!$M$6:$M$96,Calculator!$A$6:$A$96,"Catalyst 9800")</x:f>
        <x:v>0</x:v>
      </x:c>
      <x:c r="F19" s="2"/>
      <x:c r="G19" s="2"/>
      <x:c r="H19" s="2"/>
      <x:c r="I19" s="2"/>
    </x:row>
    <x:row r="20">
      <x:c r="A20" s="2" t="str">
        <x:v>SD-WAN</x:v>
      </x:c>
      <x:c r="B20" s="12" t="n">
        <x:f>SUMIFS(Calculator!$J$6:$J$96,Calculator!$A$6:$A$96,"SD-WAN")</x:f>
        <x:v>0</x:v>
      </x:c>
      <x:c r="C20" s="12" t="n">
        <x:f>SUMIFS(Calculator!$K$6:$K$96,Calculator!$A$6:$A$96,"SD-WAN")</x:f>
        <x:v>0</x:v>
      </x:c>
      <x:c r="D20" s="12" t="n">
        <x:f>SUMIFS(Calculator!$L$6:$L$96,Calculator!$A$6:$A$96,"SD-WAN")</x:f>
        <x:v>0</x:v>
      </x:c>
      <x:c r="E20" s="12" t="n">
        <x:f>SUMIFS(Calculator!$M$6:$M$96,Calculator!$A$6:$A$96,"SD-WAN")</x:f>
        <x:v>0</x:v>
      </x:c>
      <x:c r="F20" s="2"/>
      <x:c r="G20" s="2"/>
      <x:c r="H20" s="2"/>
      <x:c r="I20" s="2"/>
    </x:row>
    <x:row r="21">
      <x:c r="A21" s="2" t="str">
        <x:v>Nexus Dashboard</x:v>
      </x:c>
      <x:c r="B21" s="12" t="n">
        <x:f>SUMIFS(Calculator!$J$6:$J$96,Calculator!$A$6:$A$96,"Nexus Dashboard")</x:f>
        <x:v>0</x:v>
      </x:c>
      <x:c r="C21" s="12" t="n">
        <x:f>SUMIFS(Calculator!$K$6:$K$96,Calculator!$A$6:$A$96,"Nexus Dashboard")</x:f>
        <x:v>0</x:v>
      </x:c>
      <x:c r="D21" s="12" t="n">
        <x:f>SUMIFS(Calculator!$L$6:$L$96,Calculator!$A$6:$A$96,"Nexus Dashboard")</x:f>
        <x:v>0</x:v>
      </x:c>
      <x:c r="E21" s="12" t="n">
        <x:f>SUMIFS(Calculator!$M$6:$M$96,Calculator!$A$6:$A$96,"Nexus Dashboard")</x:f>
        <x:v>0</x:v>
      </x:c>
      <x:c r="F21" s="2"/>
      <x:c r="G21" s="2"/>
      <x:c r="H21" s="2"/>
      <x:c r="I21" s="2"/>
    </x:row>
    <x:row r="22">
      <x:c r="A22" s="2" t="str">
        <x:v>ACI</x:v>
      </x:c>
      <x:c r="B22" s="12" t="n">
        <x:f>SUMIFS(Calculator!$J$6:$J$96,Calculator!$A$6:$A$96,"ACI")</x:f>
        <x:v>0</x:v>
      </x:c>
      <x:c r="C22" s="12" t="n">
        <x:f>SUMIFS(Calculator!$K$6:$K$96,Calculator!$A$6:$A$96,"ACI")</x:f>
        <x:v>0</x:v>
      </x:c>
      <x:c r="D22" s="12" t="n">
        <x:f>SUMIFS(Calculator!$L$6:$L$96,Calculator!$A$6:$A$96,"ACI")</x:f>
        <x:v>0</x:v>
      </x:c>
      <x:c r="E22" s="12" t="n">
        <x:f>SUMIFS(Calculator!$M$6:$M$96,Calculator!$A$6:$A$96,"ACI")</x:f>
        <x:v>0</x:v>
      </x:c>
      <x:c r="F22" s="2"/>
      <x:c r="G22" s="2"/>
      <x:c r="H22" s="2"/>
      <x:c r="I22" s="2"/>
    </x:row>
    <x:row r="23">
      <x:c r="A23" s="2" t="str">
        <x:v>FMC</x:v>
      </x:c>
      <x:c r="B23" s="12" t="n">
        <x:f>SUMIFS(Calculator!$J$6:$J$96,Calculator!$A$6:$A$96,"FMC")</x:f>
        <x:v>0</x:v>
      </x:c>
      <x:c r="C23" s="12" t="n">
        <x:f>SUMIFS(Calculator!$K$6:$K$96,Calculator!$A$6:$A$96,"FMC")</x:f>
        <x:v>0</x:v>
      </x:c>
      <x:c r="D23" s="12" t="n">
        <x:f>SUMIFS(Calculator!$L$6:$L$96,Calculator!$A$6:$A$96,"FMC")</x:f>
        <x:v>0</x:v>
      </x:c>
      <x:c r="E23" s="12" t="n">
        <x:f>SUMIFS(Calculator!$M$6:$M$96,Calculator!$A$6:$A$96,"FMC")</x:f>
        <x:v>0</x:v>
      </x:c>
      <x:c r="F23" s="2"/>
      <x:c r="G23" s="2"/>
      <x:c r="H23" s="2"/>
      <x:c r="I23" s="2"/>
    </x:row>
    <x:row r="24">
      <x:c r="A24" s="2" t="str">
        <x:v>ISE</x:v>
      </x:c>
      <x:c r="B24" s="12" t="n">
        <x:f>SUMIFS(Calculator!$J$6:$J$96,Calculator!$A$6:$A$96,"ISE")</x:f>
        <x:v>0</x:v>
      </x:c>
      <x:c r="C24" s="12" t="n">
        <x:f>SUMIFS(Calculator!$K$6:$K$96,Calculator!$A$6:$A$96,"ISE")</x:f>
        <x:v>0</x:v>
      </x:c>
      <x:c r="D24" s="12" t="n">
        <x:f>SUMIFS(Calculator!$L$6:$L$96,Calculator!$A$6:$A$96,"ISE")</x:f>
        <x:v>0</x:v>
      </x:c>
      <x:c r="E24" s="12" t="n">
        <x:f>SUMIFS(Calculator!$M$6:$M$96,Calculator!$A$6:$A$96,"ISE")</x:f>
        <x:v>0</x:v>
      </x:c>
      <x:c r="F24" s="2"/>
      <x:c r="G24" s="2"/>
      <x:c r="H24" s="2"/>
      <x:c r="I24" s="2"/>
    </x:row>
    <x:row r="25">
      <x:c r="A25" s="2" t="str">
        <x:v>IOS XR</x:v>
      </x:c>
      <x:c r="B25" s="12" t="n">
        <x:f>SUMIFS(Calculator!$J$6:$J$96,Calculator!$A$6:$A$96,"IOS XR")</x:f>
        <x:v>0</x:v>
      </x:c>
      <x:c r="C25" s="12" t="n">
        <x:f>SUMIFS(Calculator!$K$6:$K$96,Calculator!$A$6:$A$96,"IOS XR")</x:f>
        <x:v>0</x:v>
      </x:c>
      <x:c r="D25" s="12" t="n">
        <x:f>SUMIFS(Calculator!$L$6:$L$96,Calculator!$A$6:$A$96,"IOS XR")</x:f>
        <x:v>0</x:v>
      </x:c>
      <x:c r="E25" s="12" t="n">
        <x:f>SUMIFS(Calculator!$M$6:$M$96,Calculator!$A$6:$A$96,"IOS XR")</x:f>
        <x:v>0</x:v>
      </x:c>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9" t="str">
        <x:v>Quick Use</x:v>
      </x:c>
      <x:c r="B28" s="9"/>
      <x:c r="C28" s="2"/>
      <x:c r="D28" s="2"/>
      <x:c r="E28" s="2"/>
      <x:c r="F28" s="2"/>
      <x:c r="G28" s="2"/>
      <x:c r="H28" s="2"/>
      <x:c r="I28" s="2"/>
    </x:row>
    <x:row r="29">
      <x:c r="A29" s="2" t="str">
        <x:v>1</x:v>
      </x:c>
      <x:c r="B29" s="2" t="str">
        <x:v>Set Collection interval seconds to match the receiver collection_interval or platform telemetry sample interval.</x:v>
      </x:c>
      <x:c r="C29" s="2"/>
      <x:c r="D29" s="2"/>
      <x:c r="E29" s="2"/>
      <x:c r="F29" s="2"/>
      <x:c r="G29" s="2"/>
      <x:c r="H29" s="2"/>
      <x:c r="I29" s="2"/>
    </x:row>
    <x:row r="30">
      <x:c r="A30" s="2" t="str">
        <x:v>2</x:v>
      </x:c>
      <x:c r="B30" s="2" t="str">
        <x:v>On Calculator, use Enabled = 1 for groups you will enable and 0 for groups you will leave off.</x:v>
      </x:c>
      <x:c r="C30" s="2"/>
      <x:c r="D30" s="2"/>
      <x:c r="E30" s="2"/>
      <x:c r="F30" s="2"/>
      <x:c r="G30" s="2"/>
      <x:c r="H30" s="2"/>
      <x:c r="I30" s="2"/>
    </x:row>
    <x:row r="31">
      <x:c r="A31" s="2" t="str">
        <x:v>3</x:v>
      </x:c>
      <x:c r="B31" s="2" t="str">
        <x:v>Replace yellow count assumptions with expected device, interface, API, VRF, neighbor, queue, controller object, endpoint, site, client, policy, or resource counts.</x:v>
      </x:c>
      <x:c r="C31" s="2"/>
      <x:c r="D31" s="2"/>
      <x:c r="E31" s="2"/>
      <x:c r="F31" s="2"/>
      <x:c r="G31" s="2"/>
      <x:c r="H31" s="2"/>
      <x:c r="I31" s="2"/>
    </x:row>
    <x:row r="32">
      <x:c r="A32" s="2" t="str">
        <x:v>4</x:v>
      </x:c>
      <x:c r="B32" s="2" t="str">
        <x:v>Use Active MTS for cardinality impact and DP/month for ingest-volume impact.</x:v>
      </x:c>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row r="36">
      <x:c r="A36" s="2"/>
      <x:c r="B36" s="2"/>
      <x:c r="C36" s="2"/>
      <x:c r="D36" s="2"/>
      <x:c r="E36" s="2"/>
      <x:c r="F36" s="2"/>
      <x:c r="G36" s="2"/>
      <x:c r="H36" s="2"/>
      <x:c r="I36" s="2"/>
    </x:row>
    <x:row r="37">
      <x:c r="A37" s="2"/>
      <x:c r="B37" s="2"/>
      <x:c r="C37" s="2"/>
      <x:c r="D37" s="2"/>
      <x:c r="E37" s="2"/>
      <x:c r="F37" s="2"/>
      <x:c r="G37" s="2"/>
      <x:c r="H37" s="2"/>
      <x:c r="I37" s="2"/>
    </x:row>
    <x:row r="38">
      <x:c r="A38" s="2"/>
      <x:c r="B38" s="2"/>
      <x:c r="C38" s="2"/>
      <x:c r="D38" s="2"/>
      <x:c r="E38" s="2"/>
      <x:c r="F38" s="2"/>
      <x:c r="G38" s="2"/>
      <x:c r="H38" s="2"/>
      <x:c r="I38" s="2"/>
    </x:row>
    <x:row r="39">
      <x:c r="A39" s="2"/>
      <x:c r="B39" s="2"/>
      <x:c r="C39" s="2"/>
      <x:c r="D39" s="2"/>
      <x:c r="E39" s="2"/>
      <x:c r="F39" s="2"/>
      <x:c r="G39" s="2"/>
      <x:c r="H39" s="2"/>
      <x:c r="I39" s="2"/>
    </x:row>
    <x:row r="40">
      <x:c r="A40" s="2"/>
      <x:c r="B40" s="2"/>
      <x:c r="C40" s="2"/>
      <x:c r="D40" s="2"/>
      <x:c r="E40" s="2"/>
      <x:c r="F40" s="2"/>
      <x:c r="G40" s="2"/>
      <x:c r="H40" s="2"/>
      <x:c r="I40" s="2"/>
    </x:row>
    <x:row r="41">
      <x:c r="A41" s="2"/>
      <x:c r="B41" s="2"/>
      <x:c r="C41" s="2"/>
      <x:c r="D41" s="2"/>
      <x:c r="E41" s="2"/>
      <x:c r="F41" s="2"/>
      <x:c r="G41" s="2"/>
      <x:c r="H41" s="2"/>
      <x:c r="I41" s="2"/>
    </x:row>
    <x:row r="42">
      <x:c r="A42" s="2"/>
      <x:c r="B42" s="2"/>
      <x:c r="C42" s="2"/>
      <x:c r="D42" s="2"/>
      <x:c r="E42" s="2"/>
      <x:c r="F42" s="2"/>
      <x:c r="G42" s="2"/>
      <x:c r="H42" s="2"/>
      <x:c r="I42" s="2"/>
    </x:row>
    <x:row r="43">
      <x:c r="A43" s="2"/>
      <x:c r="B43" s="2"/>
      <x:c r="C43" s="2"/>
      <x:c r="D43" s="2"/>
      <x:c r="E43" s="2"/>
      <x:c r="F43" s="2"/>
      <x:c r="G43" s="2"/>
      <x:c r="H43" s="2"/>
      <x:c r="I43" s="2"/>
    </x:row>
    <x:row r="44">
      <x:c r="A44" s="2"/>
      <x:c r="B44" s="2"/>
      <x:c r="C44" s="2"/>
      <x:c r="D44" s="2"/>
      <x:c r="E44" s="2"/>
      <x:c r="F44" s="2"/>
      <x:c r="G44" s="2"/>
      <x:c r="H44" s="2"/>
      <x:c r="I44" s="2"/>
    </x:row>
    <x:row r="45">
      <x:c r="A45" s="2"/>
      <x:c r="B45" s="2"/>
      <x:c r="C45" s="2"/>
      <x:c r="D45" s="2"/>
      <x:c r="E45" s="2"/>
      <x:c r="F45" s="2"/>
      <x:c r="G45" s="2"/>
      <x:c r="H45" s="2"/>
      <x:c r="I45" s="2"/>
    </x:row>
    <x:row r="46">
      <x:c r="A46" s="2"/>
      <x:c r="B46" s="2"/>
      <x:c r="C46" s="2"/>
      <x:c r="D46" s="2"/>
      <x:c r="E46" s="2"/>
      <x:c r="F46" s="2"/>
      <x:c r="G46" s="2"/>
      <x:c r="H46" s="2"/>
      <x:c r="I46" s="2"/>
    </x:row>
    <x:row r="47">
      <x:c r="A47" s="2"/>
      <x:c r="B47" s="2"/>
      <x:c r="C47" s="2"/>
      <x:c r="D47" s="2"/>
      <x:c r="E47" s="2"/>
      <x:c r="F47" s="2"/>
      <x:c r="G47" s="2"/>
      <x:c r="H47" s="2"/>
      <x:c r="I47" s="2"/>
    </x:row>
    <x:row r="48">
      <x:c r="A48" s="2"/>
      <x:c r="B48" s="2"/>
      <x:c r="C48" s="2"/>
      <x:c r="D48" s="2"/>
      <x:c r="E48" s="2"/>
      <x:c r="F48" s="2"/>
      <x:c r="G48" s="2"/>
      <x:c r="H48" s="2"/>
      <x:c r="I48" s="2"/>
    </x:row>
    <x:row r="49">
      <x:c r="A49" s="2"/>
      <x:c r="B49" s="2"/>
      <x:c r="C49" s="2"/>
      <x:c r="D49" s="2"/>
      <x:c r="E49" s="2"/>
      <x:c r="F49" s="2"/>
      <x:c r="G49" s="2"/>
      <x:c r="H49" s="2"/>
      <x:c r="I49" s="2"/>
    </x:row>
    <x:row r="50">
      <x:c r="A50" s="2"/>
      <x:c r="B50" s="2"/>
      <x:c r="C50" s="2"/>
      <x:c r="D50" s="2"/>
      <x:c r="E50" s="2"/>
      <x:c r="F50" s="2"/>
      <x:c r="G50" s="2"/>
      <x:c r="H50" s="2"/>
      <x:c r="I50" s="2"/>
    </x:row>
    <x:row r="51">
      <x:c r="A51" s="2"/>
      <x:c r="B51" s="2"/>
      <x:c r="C51" s="2"/>
      <x:c r="D51" s="2"/>
      <x:c r="E51" s="2"/>
      <x:c r="F51" s="2"/>
      <x:c r="G51" s="2"/>
      <x:c r="H51" s="2"/>
      <x:c r="I51" s="2"/>
    </x:row>
    <x:row r="52">
      <x:c r="A52" s="2"/>
      <x:c r="B52" s="2"/>
      <x:c r="C52" s="2"/>
      <x:c r="D52" s="2"/>
      <x:c r="E52" s="2"/>
      <x:c r="F52" s="2"/>
      <x:c r="G52" s="2"/>
      <x:c r="H52" s="2"/>
      <x:c r="I52" s="2"/>
    </x:row>
    <x:row r="53">
      <x:c r="A53" s="2"/>
      <x:c r="B53" s="2"/>
      <x:c r="C53" s="2"/>
      <x:c r="D53" s="2"/>
      <x:c r="E53" s="2"/>
      <x:c r="F53" s="2"/>
      <x:c r="G53" s="2"/>
      <x:c r="H53" s="2"/>
      <x:c r="I53" s="2"/>
    </x:row>
    <x:row r="54">
      <x:c r="A54" s="2"/>
      <x:c r="B54" s="2"/>
      <x:c r="C54" s="2"/>
      <x:c r="D54" s="2"/>
      <x:c r="E54" s="2"/>
      <x:c r="F54" s="2"/>
      <x:c r="G54" s="2"/>
      <x:c r="H54" s="2"/>
      <x:c r="I54" s="2"/>
    </x:row>
    <x:row r="55">
      <x:c r="A55" s="2"/>
      <x:c r="B55" s="2"/>
      <x:c r="C55" s="2"/>
      <x:c r="D55" s="2"/>
      <x:c r="E55" s="2"/>
      <x:c r="F55" s="2"/>
      <x:c r="G55" s="2"/>
      <x:c r="H55" s="2"/>
      <x:c r="I55" s="2"/>
    </x:row>
    <x:row r="56">
      <x:c r="A56" s="2"/>
      <x:c r="B56" s="2"/>
      <x:c r="C56" s="2"/>
      <x:c r="D56" s="2"/>
      <x:c r="E56" s="2"/>
      <x:c r="F56" s="2"/>
      <x:c r="G56" s="2"/>
      <x:c r="H56" s="2"/>
      <x:c r="I56" s="2"/>
    </x:row>
    <x:row r="57">
      <x:c r="A57" s="2"/>
      <x:c r="B57" s="2"/>
      <x:c r="C57" s="2"/>
      <x:c r="D57" s="2"/>
      <x:c r="E57" s="2"/>
      <x:c r="F57" s="2"/>
      <x:c r="G57" s="2"/>
      <x:c r="H57" s="2"/>
      <x:c r="I57" s="2"/>
    </x:row>
    <x:row r="58">
      <x:c r="A58" s="2"/>
      <x:c r="B58" s="2"/>
      <x:c r="C58" s="2"/>
      <x:c r="D58" s="2"/>
      <x:c r="E58" s="2"/>
      <x:c r="F58" s="2"/>
      <x:c r="G58" s="2"/>
      <x:c r="H58" s="2"/>
      <x:c r="I58" s="2"/>
    </x:row>
    <x:row r="59">
      <x:c r="A59" s="2"/>
      <x:c r="B59" s="2"/>
      <x:c r="C59" s="2"/>
      <x:c r="D59" s="2"/>
      <x:c r="E59" s="2"/>
      <x:c r="F59" s="2"/>
      <x:c r="G59" s="2"/>
      <x:c r="H59" s="2"/>
      <x:c r="I59" s="2"/>
    </x:row>
    <x:row r="60">
      <x:c r="A60" s="2"/>
      <x:c r="B60" s="2"/>
      <x:c r="C60" s="2"/>
      <x:c r="D60" s="2"/>
      <x:c r="E60" s="2"/>
      <x:c r="F60" s="2"/>
      <x:c r="G60" s="2"/>
      <x:c r="H60" s="2"/>
      <x:c r="I60" s="2"/>
    </x:row>
    <x:row r="61">
      <x:c r="A61" s="2"/>
      <x:c r="B61" s="2"/>
      <x:c r="C61" s="2"/>
      <x:c r="D61" s="2"/>
      <x:c r="E61" s="2"/>
      <x:c r="F61" s="2"/>
      <x:c r="G61" s="2"/>
      <x:c r="H61" s="2"/>
      <x:c r="I61" s="2"/>
    </x:row>
    <x:row r="62">
      <x:c r="A62" s="2"/>
      <x:c r="B62" s="2"/>
      <x:c r="C62" s="2"/>
      <x:c r="D62" s="2"/>
      <x:c r="E62" s="2"/>
      <x:c r="F62" s="2"/>
      <x:c r="G62" s="2"/>
      <x:c r="H62" s="2"/>
      <x:c r="I62" s="2"/>
    </x:row>
    <x:row r="63">
      <x:c r="A63" s="2"/>
      <x:c r="B63" s="2"/>
      <x:c r="C63" s="2"/>
      <x:c r="D63" s="2"/>
      <x:c r="E63" s="2"/>
      <x:c r="F63" s="2"/>
      <x:c r="G63" s="2"/>
      <x:c r="H63" s="2"/>
      <x:c r="I63" s="2"/>
    </x:row>
    <x:row r="64">
      <x:c r="A64" s="2"/>
      <x:c r="B64" s="2"/>
      <x:c r="C64" s="2"/>
      <x:c r="D64" s="2"/>
      <x:c r="E64" s="2"/>
      <x:c r="F64" s="2"/>
      <x:c r="G64" s="2"/>
      <x:c r="H64" s="2"/>
      <x:c r="I64" s="2"/>
    </x:row>
    <x:row r="65">
      <x:c r="A65" s="2"/>
      <x:c r="B65" s="2"/>
      <x:c r="C65" s="2"/>
      <x:c r="D65" s="2"/>
      <x:c r="E65" s="2"/>
      <x:c r="F65" s="2"/>
      <x:c r="G65" s="2"/>
      <x:c r="H65" s="2"/>
      <x:c r="I65" s="2"/>
    </x:row>
    <x:row r="66">
      <x:c r="A66" s="2"/>
      <x:c r="B66" s="2"/>
      <x:c r="C66" s="2"/>
      <x:c r="D66" s="2"/>
      <x:c r="E66" s="2"/>
      <x:c r="F66" s="2"/>
      <x:c r="G66" s="2"/>
      <x:c r="H66" s="2"/>
      <x:c r="I66" s="2"/>
    </x:row>
    <x:row r="67">
      <x:c r="A67" s="2"/>
      <x:c r="B67" s="2"/>
      <x:c r="C67" s="2"/>
      <x:c r="D67" s="2"/>
      <x:c r="E67" s="2"/>
      <x:c r="F67" s="2"/>
      <x:c r="G67" s="2"/>
      <x:c r="H67" s="2"/>
      <x:c r="I67" s="2"/>
    </x:row>
    <x:row r="68">
      <x:c r="A68" s="2"/>
      <x:c r="B68" s="2"/>
      <x:c r="C68" s="2"/>
      <x:c r="D68" s="2"/>
      <x:c r="E68" s="2"/>
      <x:c r="F68" s="2"/>
      <x:c r="G68" s="2"/>
      <x:c r="H68" s="2"/>
      <x:c r="I68" s="2"/>
    </x:row>
    <x:row r="69">
      <x:c r="A69" s="2"/>
      <x:c r="B69" s="2"/>
      <x:c r="C69" s="2"/>
      <x:c r="D69" s="2"/>
      <x:c r="E69" s="2"/>
      <x:c r="F69" s="2"/>
      <x:c r="G69" s="2"/>
      <x:c r="H69" s="2"/>
      <x:c r="I69" s="2"/>
    </x:row>
    <x:row r="70">
      <x:c r="A70" s="2"/>
      <x:c r="B70" s="2"/>
      <x:c r="C70" s="2"/>
      <x:c r="D70" s="2"/>
      <x:c r="E70" s="2"/>
      <x:c r="F70" s="2"/>
      <x:c r="G70" s="2"/>
      <x:c r="H70" s="2"/>
      <x:c r="I70" s="2"/>
    </x:row>
    <x:row r="71">
      <x:c r="A71" s="2"/>
      <x:c r="B71" s="2"/>
      <x:c r="C71" s="2"/>
      <x:c r="D71" s="2"/>
      <x:c r="E71" s="2"/>
      <x:c r="F71" s="2"/>
      <x:c r="G71" s="2"/>
      <x:c r="H71" s="2"/>
      <x:c r="I71" s="2"/>
    </x:row>
    <x:row r="72">
      <x:c r="A72" s="2"/>
      <x:c r="B72" s="2"/>
      <x:c r="C72" s="2"/>
      <x:c r="D72" s="2"/>
      <x:c r="E72" s="2"/>
      <x:c r="F72" s="2"/>
      <x:c r="G72" s="2"/>
      <x:c r="H72" s="2"/>
      <x:c r="I72" s="2"/>
    </x:row>
    <x:row r="73">
      <x:c r="A73" s="2"/>
      <x:c r="B73" s="2"/>
      <x:c r="C73" s="2"/>
      <x:c r="D73" s="2"/>
      <x:c r="E73" s="2"/>
      <x:c r="F73" s="2"/>
      <x:c r="G73" s="2"/>
      <x:c r="H73" s="2"/>
      <x:c r="I73" s="2"/>
    </x:row>
    <x:row r="74">
      <x:c r="A74" s="2"/>
      <x:c r="B74" s="2"/>
      <x:c r="C74" s="2"/>
      <x:c r="D74" s="2"/>
      <x:c r="E74" s="2"/>
      <x:c r="F74" s="2"/>
      <x:c r="G74" s="2"/>
      <x:c r="H74" s="2"/>
      <x:c r="I74" s="2"/>
    </x:row>
    <x:row r="75">
      <x:c r="A75" s="2"/>
      <x:c r="B75" s="2"/>
      <x:c r="C75" s="2"/>
      <x:c r="D75" s="2"/>
      <x:c r="E75" s="2"/>
      <x:c r="F75" s="2"/>
      <x:c r="G75" s="2"/>
      <x:c r="H75" s="2"/>
      <x:c r="I75" s="2"/>
    </x:row>
    <x:row r="76">
      <x:c r="A76" s="2"/>
      <x:c r="B76" s="2"/>
      <x:c r="C76" s="2"/>
      <x:c r="D76" s="2"/>
      <x:c r="E76" s="2"/>
      <x:c r="F76" s="2"/>
      <x:c r="G76" s="2"/>
      <x:c r="H76" s="2"/>
      <x:c r="I76" s="2"/>
    </x:row>
    <x:row r="77">
      <x:c r="A77" s="2"/>
      <x:c r="B77" s="2"/>
      <x:c r="C77" s="2"/>
      <x:c r="D77" s="2"/>
      <x:c r="E77" s="2"/>
      <x:c r="F77" s="2"/>
      <x:c r="G77" s="2"/>
      <x:c r="H77" s="2"/>
      <x:c r="I77" s="2"/>
    </x:row>
    <x:row r="78">
      <x:c r="A78" s="2"/>
      <x:c r="B78" s="2"/>
      <x:c r="C78" s="2"/>
      <x:c r="D78" s="2"/>
      <x:c r="E78" s="2"/>
      <x:c r="F78" s="2"/>
      <x:c r="G78" s="2"/>
      <x:c r="H78" s="2"/>
      <x:c r="I78" s="2"/>
    </x:row>
    <x:row r="79">
      <x:c r="A79" s="2"/>
      <x:c r="B79" s="2"/>
      <x:c r="C79" s="2"/>
      <x:c r="D79" s="2"/>
      <x:c r="E79" s="2"/>
      <x:c r="F79" s="2"/>
      <x:c r="G79" s="2"/>
      <x:c r="H79" s="2"/>
      <x:c r="I79" s="2"/>
    </x:row>
    <x:row r="80">
      <x:c r="A80" s="2"/>
      <x:c r="B80" s="2"/>
      <x:c r="C80" s="2"/>
      <x:c r="D80" s="2"/>
      <x:c r="E80" s="2"/>
      <x:c r="F80" s="2"/>
      <x:c r="G80" s="2"/>
      <x:c r="H80" s="2"/>
      <x:c r="I80" s="2"/>
    </x:row>
    <x:row r="81">
      <x:c r="A81" s="2"/>
      <x:c r="B81" s="2"/>
      <x:c r="C81" s="2"/>
      <x:c r="D81" s="2"/>
      <x:c r="E81" s="2"/>
      <x:c r="F81" s="2"/>
      <x:c r="G81" s="2"/>
      <x:c r="H81" s="2"/>
      <x:c r="I81" s="2"/>
    </x:row>
    <x:row r="82">
      <x:c r="A82" s="2"/>
      <x:c r="B82" s="2"/>
      <x:c r="C82" s="2"/>
      <x:c r="D82" s="2"/>
      <x:c r="E82" s="2"/>
      <x:c r="F82" s="2"/>
      <x:c r="G82" s="2"/>
      <x:c r="H82" s="2"/>
      <x:c r="I82" s="2"/>
    </x:row>
    <x:row r="83">
      <x:c r="A83" s="2"/>
      <x:c r="B83" s="2"/>
      <x:c r="C83" s="2"/>
      <x:c r="D83" s="2"/>
      <x:c r="E83" s="2"/>
      <x:c r="F83" s="2"/>
      <x:c r="G83" s="2"/>
      <x:c r="H83" s="2"/>
      <x:c r="I83" s="2"/>
    </x:row>
    <x:row r="84">
      <x:c r="A84" s="2"/>
      <x:c r="B84" s="2"/>
      <x:c r="C84" s="2"/>
      <x:c r="D84" s="2"/>
      <x:c r="E84" s="2"/>
      <x:c r="F84" s="2"/>
      <x:c r="G84" s="2"/>
      <x:c r="H84" s="2"/>
      <x:c r="I84" s="2"/>
    </x:row>
    <x:row r="85">
      <x:c r="A85" s="2"/>
      <x:c r="B85" s="2"/>
      <x:c r="C85" s="2"/>
      <x:c r="D85" s="2"/>
      <x:c r="E85" s="2"/>
      <x:c r="F85" s="2"/>
      <x:c r="G85" s="2"/>
      <x:c r="H85" s="2"/>
      <x:c r="I85" s="2"/>
    </x:row>
    <x:row r="86">
      <x:c r="A86" s="2"/>
      <x:c r="B86" s="2"/>
      <x:c r="C86" s="2"/>
      <x:c r="D86" s="2"/>
      <x:c r="E86" s="2"/>
      <x:c r="F86" s="2"/>
      <x:c r="G86" s="2"/>
      <x:c r="H86" s="2"/>
      <x:c r="I86" s="2"/>
    </x:row>
    <x:row r="87">
      <x:c r="A87" s="2"/>
      <x:c r="B87" s="2"/>
      <x:c r="C87" s="2"/>
      <x:c r="D87" s="2"/>
      <x:c r="E87" s="2"/>
      <x:c r="F87" s="2"/>
      <x:c r="G87" s="2"/>
      <x:c r="H87" s="2"/>
      <x:c r="I87" s="2"/>
    </x:row>
    <x:row r="88">
      <x:c r="A88" s="2"/>
      <x:c r="B88" s="2"/>
      <x:c r="C88" s="2"/>
      <x:c r="D88" s="2"/>
      <x:c r="E88" s="2"/>
      <x:c r="F88" s="2"/>
      <x:c r="G88" s="2"/>
      <x:c r="H88" s="2"/>
      <x:c r="I88" s="2"/>
    </x:row>
    <x:row r="89">
      <x:c r="A89" s="2"/>
      <x:c r="B89" s="2"/>
      <x:c r="C89" s="2"/>
      <x:c r="D89" s="2"/>
      <x:c r="E89" s="2"/>
      <x:c r="F89" s="2"/>
      <x:c r="G89" s="2"/>
      <x:c r="H89" s="2"/>
      <x:c r="I89" s="2"/>
    </x:row>
    <x:row r="90">
      <x:c r="A90" s="2"/>
      <x:c r="B90" s="2"/>
      <x:c r="C90" s="2"/>
      <x:c r="D90" s="2"/>
      <x:c r="E90" s="2"/>
      <x:c r="F90" s="2"/>
      <x:c r="G90" s="2"/>
      <x:c r="H90" s="2"/>
      <x:c r="I90" s="2"/>
    </x:row>
    <x:row r="91">
      <x:c r="A91" s="2"/>
      <x:c r="B91" s="2"/>
      <x:c r="C91" s="2"/>
      <x:c r="D91" s="2"/>
      <x:c r="E91" s="2"/>
      <x:c r="F91" s="2"/>
      <x:c r="G91" s="2"/>
      <x:c r="H91" s="2"/>
      <x:c r="I91" s="2"/>
    </x:row>
    <x:row r="92">
      <x:c r="A92" s="2"/>
      <x:c r="B92" s="2"/>
      <x:c r="C92" s="2"/>
      <x:c r="D92" s="2"/>
      <x:c r="E92" s="2"/>
      <x:c r="F92" s="2"/>
      <x:c r="G92" s="2"/>
      <x:c r="H92" s="2"/>
      <x:c r="I92" s="2"/>
    </x:row>
    <x:row r="93">
      <x:c r="A93" s="2"/>
      <x:c r="B93" s="2"/>
      <x:c r="C93" s="2"/>
      <x:c r="D93" s="2"/>
      <x:c r="E93" s="2"/>
      <x:c r="F93" s="2"/>
      <x:c r="G93" s="2"/>
      <x:c r="H93" s="2"/>
      <x:c r="I93" s="2"/>
    </x:row>
    <x:row r="94">
      <x:c r="A94" s="2"/>
      <x:c r="B94" s="2"/>
      <x:c r="C94" s="2"/>
      <x:c r="D94" s="2"/>
      <x:c r="E94" s="2"/>
      <x:c r="F94" s="2"/>
      <x:c r="G94" s="2"/>
      <x:c r="H94" s="2"/>
      <x:c r="I94" s="2"/>
    </x:row>
    <x:row r="95">
      <x:c r="A95" s="2"/>
      <x:c r="B95" s="2"/>
      <x:c r="C95" s="2"/>
      <x:c r="D95" s="2"/>
      <x:c r="E95" s="2"/>
      <x:c r="F95" s="2"/>
      <x:c r="G95" s="2"/>
      <x:c r="H95" s="2"/>
      <x:c r="I95" s="2"/>
    </x:row>
    <x:row r="96">
      <x:c r="A96" s="2"/>
      <x:c r="B96" s="2"/>
      <x:c r="C96" s="2"/>
      <x:c r="D96" s="2"/>
      <x:c r="E96" s="2"/>
      <x:c r="F96" s="2"/>
      <x:c r="G96" s="2"/>
      <x:c r="H96" s="2"/>
      <x:c r="I96" s="2"/>
    </x:row>
    <x:row r="97">
      <x:c r="A97" s="2"/>
      <x:c r="B97" s="2"/>
      <x:c r="C97" s="2"/>
      <x:c r="D97" s="2"/>
      <x:c r="E97" s="2"/>
      <x:c r="F97" s="2"/>
      <x:c r="G97" s="2"/>
      <x:c r="H97" s="2"/>
      <x:c r="I97" s="2"/>
    </x:row>
    <x:row r="98">
      <x:c r="A98" s="2"/>
      <x:c r="B98" s="2"/>
      <x:c r="C98" s="2"/>
      <x:c r="D98" s="2"/>
      <x:c r="E98" s="2"/>
      <x:c r="F98" s="2"/>
      <x:c r="G98" s="2"/>
      <x:c r="H98" s="2"/>
      <x:c r="I98" s="2"/>
    </x:row>
    <x:row r="99">
      <x:c r="A99" s="2"/>
      <x:c r="B99" s="2"/>
      <x:c r="C99" s="2"/>
      <x:c r="D99" s="2"/>
      <x:c r="E99" s="2"/>
      <x:c r="F99" s="2"/>
      <x:c r="G99" s="2"/>
      <x:c r="H99" s="2"/>
      <x:c r="I99" s="2"/>
    </x:row>
    <x:row r="100">
      <x:c r="A100" s="2"/>
      <x:c r="B100" s="2"/>
      <x:c r="C100" s="2"/>
      <x:c r="D100" s="2"/>
      <x:c r="E100" s="2"/>
      <x:c r="F100" s="2"/>
      <x:c r="G100" s="2"/>
      <x:c r="H100" s="2"/>
      <x:c r="I100" s="2"/>
    </x:row>
    <x:row r="101">
      <x:c r="A101" s="2"/>
      <x:c r="B101" s="2"/>
      <x:c r="C101" s="2"/>
      <x:c r="D101" s="2"/>
      <x:c r="E101" s="2"/>
      <x:c r="F101" s="2"/>
      <x:c r="G101" s="2"/>
      <x:c r="H101" s="2"/>
      <x:c r="I101" s="2"/>
    </x:row>
    <x:row r="102">
      <x:c r="A102" s="2"/>
      <x:c r="B102" s="2"/>
      <x:c r="C102" s="2"/>
      <x:c r="D102" s="2"/>
      <x:c r="E102" s="2"/>
      <x:c r="F102" s="2"/>
      <x:c r="G102" s="2"/>
      <x:c r="H102" s="2"/>
      <x:c r="I102" s="2"/>
    </x:row>
    <x:row r="103">
      <x:c r="A103" s="2"/>
      <x:c r="B103" s="2"/>
      <x:c r="C103" s="2"/>
      <x:c r="D103" s="2"/>
      <x:c r="E103" s="2"/>
      <x:c r="F103" s="2"/>
      <x:c r="G103" s="2"/>
      <x:c r="H103" s="2"/>
      <x:c r="I103" s="2"/>
    </x:row>
    <x:row r="104">
      <x:c r="A104" s="2"/>
      <x:c r="B104" s="2"/>
      <x:c r="C104" s="2"/>
      <x:c r="D104" s="2"/>
      <x:c r="E104" s="2"/>
      <x:c r="F104" s="2"/>
      <x:c r="G104" s="2"/>
      <x:c r="H104" s="2"/>
      <x:c r="I104" s="2"/>
    </x:row>
    <x:row r="105">
      <x:c r="A105" s="2"/>
      <x:c r="B105" s="2"/>
      <x:c r="C105" s="2"/>
      <x:c r="D105" s="2"/>
      <x:c r="E105" s="2"/>
      <x:c r="F105" s="2"/>
      <x:c r="G105" s="2"/>
      <x:c r="H105" s="2"/>
      <x:c r="I105" s="2"/>
    </x:row>
    <x:row r="106">
      <x:c r="A106" s="2"/>
      <x:c r="B106" s="2"/>
      <x:c r="C106" s="2"/>
      <x:c r="D106" s="2"/>
      <x:c r="E106" s="2"/>
      <x:c r="F106" s="2"/>
      <x:c r="G106" s="2"/>
      <x:c r="H106" s="2"/>
      <x:c r="I106" s="2"/>
    </x:row>
    <x:row r="107">
      <x:c r="A107" s="2"/>
      <x:c r="B107" s="2"/>
      <x:c r="C107" s="2"/>
      <x:c r="D107" s="2"/>
      <x:c r="E107" s="2"/>
      <x:c r="F107" s="2"/>
      <x:c r="G107" s="2"/>
      <x:c r="H107" s="2"/>
      <x:c r="I107" s="2"/>
    </x:row>
    <x:row r="108">
      <x:c r="A108" s="2"/>
      <x:c r="B108" s="2"/>
      <x:c r="C108" s="2"/>
      <x:c r="D108" s="2"/>
      <x:c r="E108" s="2"/>
      <x:c r="F108" s="2"/>
      <x:c r="G108" s="2"/>
      <x:c r="H108" s="2"/>
      <x:c r="I108" s="2"/>
    </x:row>
    <x:row r="109">
      <x:c r="A109" s="2"/>
      <x:c r="B109" s="2"/>
      <x:c r="C109" s="2"/>
      <x:c r="D109" s="2"/>
      <x:c r="E109" s="2"/>
      <x:c r="F109" s="2"/>
      <x:c r="G109" s="2"/>
      <x:c r="H109" s="2"/>
      <x:c r="I109" s="2"/>
    </x:row>
    <x:row r="110">
      <x:c r="A110" s="2"/>
      <x:c r="B110" s="2"/>
      <x:c r="C110" s="2"/>
      <x:c r="D110" s="2"/>
      <x:c r="E110" s="2"/>
      <x:c r="F110" s="2"/>
      <x:c r="G110" s="2"/>
      <x:c r="H110" s="2"/>
      <x:c r="I110" s="2"/>
    </x:row>
    <x:row r="111">
      <x:c r="A111" s="2"/>
      <x:c r="B111" s="2"/>
      <x:c r="C111" s="2"/>
      <x:c r="D111" s="2"/>
      <x:c r="E111" s="2"/>
      <x:c r="F111" s="2"/>
      <x:c r="G111" s="2"/>
      <x:c r="H111" s="2"/>
      <x:c r="I111" s="2"/>
    </x:row>
    <x:row r="112">
      <x:c r="A112" s="2"/>
      <x:c r="B112" s="2"/>
      <x:c r="C112" s="2"/>
      <x:c r="D112" s="2"/>
      <x:c r="E112" s="2"/>
      <x:c r="F112" s="2"/>
      <x:c r="G112" s="2"/>
      <x:c r="H112" s="2"/>
      <x:c r="I112" s="2"/>
    </x:row>
    <x:row r="113">
      <x:c r="A113" s="2"/>
      <x:c r="B113" s="2"/>
      <x:c r="C113" s="2"/>
      <x:c r="D113" s="2"/>
      <x:c r="E113" s="2"/>
      <x:c r="F113" s="2"/>
      <x:c r="G113" s="2"/>
      <x:c r="H113" s="2"/>
      <x:c r="I113" s="2"/>
    </x:row>
    <x:row r="114">
      <x:c r="A114" s="2"/>
      <x:c r="B114" s="2"/>
      <x:c r="C114" s="2"/>
      <x:c r="D114" s="2"/>
      <x:c r="E114" s="2"/>
      <x:c r="F114" s="2"/>
      <x:c r="G114" s="2"/>
      <x:c r="H114" s="2"/>
      <x:c r="I114" s="2"/>
    </x:row>
    <x:row r="115">
      <x:c r="A115" s="2"/>
      <x:c r="B115" s="2"/>
      <x:c r="C115" s="2"/>
      <x:c r="D115" s="2"/>
      <x:c r="E115" s="2"/>
      <x:c r="F115" s="2"/>
      <x:c r="G115" s="2"/>
      <x:c r="H115" s="2"/>
      <x:c r="I115" s="2"/>
    </x:row>
    <x:row r="116">
      <x:c r="A116" s="2"/>
      <x:c r="B116" s="2"/>
      <x:c r="C116" s="2"/>
      <x:c r="D116" s="2"/>
      <x:c r="E116" s="2"/>
      <x:c r="F116" s="2"/>
      <x:c r="G116" s="2"/>
      <x:c r="H116" s="2"/>
      <x:c r="I116" s="2"/>
    </x:row>
    <x:row r="117">
      <x:c r="A117" s="2"/>
      <x:c r="B117" s="2"/>
      <x:c r="C117" s="2"/>
      <x:c r="D117" s="2"/>
      <x:c r="E117" s="2"/>
      <x:c r="F117" s="2"/>
      <x:c r="G117" s="2"/>
      <x:c r="H117" s="2"/>
      <x:c r="I117" s="2"/>
    </x:row>
    <x:row r="118">
      <x:c r="A118" s="2"/>
      <x:c r="B118" s="2"/>
      <x:c r="C118" s="2"/>
      <x:c r="D118" s="2"/>
      <x:c r="E118" s="2"/>
      <x:c r="F118" s="2"/>
      <x:c r="G118" s="2"/>
      <x:c r="H118" s="2"/>
      <x:c r="I118" s="2"/>
    </x:row>
    <x:row r="119">
      <x:c r="A119" s="2"/>
      <x:c r="B119" s="2"/>
      <x:c r="C119" s="2"/>
      <x:c r="D119" s="2"/>
      <x:c r="E119" s="2"/>
      <x:c r="F119" s="2"/>
      <x:c r="G119" s="2"/>
      <x:c r="H119" s="2"/>
      <x:c r="I119" s="2"/>
    </x:row>
    <x:row r="120">
      <x:c r="A120" s="2"/>
      <x:c r="B120" s="2"/>
      <x:c r="C120" s="2"/>
      <x:c r="D120" s="2"/>
      <x:c r="E120" s="2"/>
      <x:c r="F120" s="2"/>
      <x:c r="G120" s="2"/>
      <x:c r="H120" s="2"/>
      <x:c r="I120" s="2"/>
    </x:row>
    <x:row r="121">
      <x:c r="A121" s="2"/>
      <x:c r="B121" s="2"/>
      <x:c r="C121" s="2"/>
      <x:c r="D121" s="2"/>
      <x:c r="E121" s="2"/>
      <x:c r="F121" s="2"/>
      <x:c r="G121" s="2"/>
      <x:c r="H121" s="2"/>
      <x:c r="I121" s="2"/>
    </x:row>
    <x:row r="122">
      <x:c r="A122" s="2"/>
      <x:c r="B122" s="2"/>
      <x:c r="C122" s="2"/>
      <x:c r="D122" s="2"/>
      <x:c r="E122" s="2"/>
      <x:c r="F122" s="2"/>
      <x:c r="G122" s="2"/>
      <x:c r="H122" s="2"/>
      <x:c r="I122" s="2"/>
    </x:row>
    <x:row r="123">
      <x:c r="A123" s="2"/>
      <x:c r="B123" s="2"/>
      <x:c r="C123" s="2"/>
      <x:c r="D123" s="2"/>
      <x:c r="E123" s="2"/>
      <x:c r="F123" s="2"/>
      <x:c r="G123" s="2"/>
      <x:c r="H123" s="2"/>
      <x:c r="I123" s="2"/>
    </x:row>
    <x:row r="124">
      <x:c r="A124" s="2"/>
      <x:c r="B124" s="2"/>
      <x:c r="C124" s="2"/>
      <x:c r="D124" s="2"/>
      <x:c r="E124" s="2"/>
      <x:c r="F124" s="2"/>
      <x:c r="G124" s="2"/>
      <x:c r="H124" s="2"/>
      <x:c r="I124" s="2"/>
    </x:row>
    <x:row r="125">
      <x:c r="A125" s="2"/>
      <x:c r="B125" s="2"/>
      <x:c r="C125" s="2"/>
      <x:c r="D125" s="2"/>
      <x:c r="E125" s="2"/>
      <x:c r="F125" s="2"/>
      <x:c r="G125" s="2"/>
      <x:c r="H125" s="2"/>
      <x:c r="I125" s="2"/>
    </x:row>
    <x:row r="126">
      <x:c r="A126" s="2"/>
      <x:c r="B126" s="2"/>
      <x:c r="C126" s="2"/>
      <x:c r="D126" s="2"/>
      <x:c r="E126" s="2"/>
      <x:c r="F126" s="2"/>
      <x:c r="G126" s="2"/>
      <x:c r="H126" s="2"/>
      <x:c r="I126" s="2"/>
    </x:row>
    <x:row r="127">
      <x:c r="A127" s="2"/>
      <x:c r="B127" s="2"/>
      <x:c r="C127" s="2"/>
      <x:c r="D127" s="2"/>
      <x:c r="E127" s="2"/>
      <x:c r="F127" s="2"/>
      <x:c r="G127" s="2"/>
      <x:c r="H127" s="2"/>
      <x:c r="I127" s="2"/>
    </x:row>
    <x:row r="128">
      <x:c r="A128" s="2"/>
      <x:c r="B128" s="2"/>
      <x:c r="C128" s="2"/>
      <x:c r="D128" s="2"/>
      <x:c r="E128" s="2"/>
      <x:c r="F128" s="2"/>
      <x:c r="G128" s="2"/>
      <x:c r="H128" s="2"/>
      <x:c r="I128" s="2"/>
    </x:row>
    <x:row r="129">
      <x:c r="A129" s="2"/>
      <x:c r="B129" s="2"/>
      <x:c r="C129" s="2"/>
      <x:c r="D129" s="2"/>
      <x:c r="E129" s="2"/>
      <x:c r="F129" s="2"/>
      <x:c r="G129" s="2"/>
      <x:c r="H129" s="2"/>
      <x:c r="I129" s="2"/>
    </x:row>
    <x:row r="130">
      <x:c r="A130" s="2"/>
      <x:c r="B130" s="2"/>
      <x:c r="C130" s="2"/>
      <x:c r="D130" s="2"/>
      <x:c r="E130" s="2"/>
      <x:c r="F130" s="2"/>
      <x:c r="G130" s="2"/>
      <x:c r="H130" s="2"/>
      <x:c r="I130" s="2"/>
    </x:row>
    <x:row r="131">
      <x:c r="A131" s="2"/>
      <x:c r="B131" s="2"/>
      <x:c r="C131" s="2"/>
      <x:c r="D131" s="2"/>
      <x:c r="E131" s="2"/>
      <x:c r="F131" s="2"/>
      <x:c r="G131" s="2"/>
      <x:c r="H131" s="2"/>
      <x:c r="I131" s="2"/>
    </x:row>
    <x:row r="132">
      <x:c r="A132" s="2"/>
      <x:c r="B132" s="2"/>
      <x:c r="C132" s="2"/>
      <x:c r="D132" s="2"/>
      <x:c r="E132" s="2"/>
      <x:c r="F132" s="2"/>
      <x:c r="G132" s="2"/>
      <x:c r="H132" s="2"/>
      <x:c r="I132" s="2"/>
    </x:row>
    <x:row r="133">
      <x:c r="A133" s="2"/>
      <x:c r="B133" s="2"/>
      <x:c r="C133" s="2"/>
      <x:c r="D133" s="2"/>
      <x:c r="E133" s="2"/>
      <x:c r="F133" s="2"/>
      <x:c r="G133" s="2"/>
      <x:c r="H133" s="2"/>
      <x:c r="I133" s="2"/>
    </x:row>
    <x:row r="134">
      <x:c r="A134" s="2"/>
      <x:c r="B134" s="2"/>
      <x:c r="C134" s="2"/>
      <x:c r="D134" s="2"/>
      <x:c r="E134" s="2"/>
      <x:c r="F134" s="2"/>
      <x:c r="G134" s="2"/>
      <x:c r="H134" s="2"/>
      <x:c r="I134" s="2"/>
    </x:row>
    <x:row r="135">
      <x:c r="A135" s="2"/>
      <x:c r="B135" s="2"/>
      <x:c r="C135" s="2"/>
      <x:c r="D135" s="2"/>
      <x:c r="E135" s="2"/>
      <x:c r="F135" s="2"/>
      <x:c r="G135" s="2"/>
      <x:c r="H135" s="2"/>
      <x:c r="I135" s="2"/>
    </x:row>
    <x:row r="136">
      <x:c r="A136" s="2"/>
      <x:c r="B136" s="2"/>
      <x:c r="C136" s="2"/>
      <x:c r="D136" s="2"/>
      <x:c r="E136" s="2"/>
      <x:c r="F136" s="2"/>
      <x:c r="G136" s="2"/>
      <x:c r="H136" s="2"/>
      <x:c r="I136" s="2"/>
    </x:row>
    <x:row r="137">
      <x:c r="A137" s="2"/>
      <x:c r="B137" s="2"/>
      <x:c r="C137" s="2"/>
      <x:c r="D137" s="2"/>
      <x:c r="E137" s="2"/>
      <x:c r="F137" s="2"/>
      <x:c r="G137" s="2"/>
      <x:c r="H137" s="2"/>
      <x:c r="I137" s="2"/>
    </x:row>
    <x:row r="138">
      <x:c r="A138" s="2"/>
      <x:c r="B138" s="2"/>
      <x:c r="C138" s="2"/>
      <x:c r="D138" s="2"/>
      <x:c r="E138" s="2"/>
      <x:c r="F138" s="2"/>
      <x:c r="G138" s="2"/>
      <x:c r="H138" s="2"/>
      <x:c r="I138" s="2"/>
    </x:row>
    <x:row r="139">
      <x:c r="A139" s="2"/>
      <x:c r="B139" s="2"/>
      <x:c r="C139" s="2"/>
      <x:c r="D139" s="2"/>
      <x:c r="E139" s="2"/>
      <x:c r="F139" s="2"/>
      <x:c r="G139" s="2"/>
      <x:c r="H139" s="2"/>
      <x:c r="I139" s="2"/>
    </x:row>
    <x:row r="140">
      <x:c r="A140" s="2"/>
      <x:c r="B140" s="2"/>
      <x:c r="C140" s="2"/>
      <x:c r="D140" s="2"/>
      <x:c r="E140" s="2"/>
      <x:c r="F140" s="2"/>
      <x:c r="G140" s="2"/>
      <x:c r="H140" s="2"/>
      <x:c r="I140" s="2"/>
    </x:row>
    <x:row r="141">
      <x:c r="A141" s="2"/>
      <x:c r="B141" s="2"/>
      <x:c r="C141" s="2"/>
      <x:c r="D141" s="2"/>
      <x:c r="E141" s="2"/>
      <x:c r="F141" s="2"/>
      <x:c r="G141" s="2"/>
      <x:c r="H141" s="2"/>
      <x:c r="I141" s="2"/>
    </x:row>
    <x:row r="142">
      <x:c r="A142" s="2"/>
      <x:c r="B142" s="2"/>
      <x:c r="C142" s="2"/>
      <x:c r="D142" s="2"/>
      <x:c r="E142" s="2"/>
      <x:c r="F142" s="2"/>
      <x:c r="G142" s="2"/>
      <x:c r="H142" s="2"/>
      <x:c r="I142" s="2"/>
    </x:row>
    <x:row r="143">
      <x:c r="A143" s="2"/>
      <x:c r="B143" s="2"/>
      <x:c r="C143" s="2"/>
      <x:c r="D143" s="2"/>
      <x:c r="E143" s="2"/>
      <x:c r="F143" s="2"/>
      <x:c r="G143" s="2"/>
      <x:c r="H143" s="2"/>
      <x:c r="I143" s="2"/>
    </x:row>
    <x:row r="144">
      <x:c r="A144" s="2"/>
      <x:c r="B144" s="2"/>
      <x:c r="C144" s="2"/>
      <x:c r="D144" s="2"/>
      <x:c r="E144" s="2"/>
      <x:c r="F144" s="2"/>
      <x:c r="G144" s="2"/>
      <x:c r="H144" s="2"/>
      <x:c r="I144" s="2"/>
    </x:row>
    <x:row r="145">
      <x:c r="A145" s="2"/>
      <x:c r="B145" s="2"/>
      <x:c r="C145" s="2"/>
      <x:c r="D145" s="2"/>
      <x:c r="E145" s="2"/>
      <x:c r="F145" s="2"/>
      <x:c r="G145" s="2"/>
      <x:c r="H145" s="2"/>
      <x:c r="I145" s="2"/>
    </x:row>
    <x:row r="146">
      <x:c r="A146" s="2"/>
      <x:c r="B146" s="2"/>
      <x:c r="C146" s="2"/>
      <x:c r="D146" s="2"/>
      <x:c r="E146" s="2"/>
      <x:c r="F146" s="2"/>
      <x:c r="G146" s="2"/>
      <x:c r="H146" s="2"/>
      <x:c r="I146" s="2"/>
    </x:row>
    <x:row r="147">
      <x:c r="A147" s="2"/>
      <x:c r="B147" s="2"/>
      <x:c r="C147" s="2"/>
      <x:c r="D147" s="2"/>
      <x:c r="E147" s="2"/>
      <x:c r="F147" s="2"/>
      <x:c r="G147" s="2"/>
      <x:c r="H147" s="2"/>
      <x:c r="I147" s="2"/>
    </x:row>
    <x:row r="148">
      <x:c r="A148" s="2"/>
      <x:c r="B148" s="2"/>
      <x:c r="C148" s="2"/>
      <x:c r="D148" s="2"/>
      <x:c r="E148" s="2"/>
      <x:c r="F148" s="2"/>
      <x:c r="G148" s="2"/>
      <x:c r="H148" s="2"/>
      <x:c r="I148" s="2"/>
    </x:row>
    <x:row r="149">
      <x:c r="A149" s="2"/>
      <x:c r="B149" s="2"/>
      <x:c r="C149" s="2"/>
      <x:c r="D149" s="2"/>
      <x:c r="E149" s="2"/>
      <x:c r="F149" s="2"/>
      <x:c r="G149" s="2"/>
      <x:c r="H149" s="2"/>
      <x:c r="I149" s="2"/>
    </x:row>
    <x:row r="150">
      <x:c r="A150" s="2"/>
      <x:c r="B150" s="2"/>
      <x:c r="C150" s="2"/>
      <x:c r="D150" s="2"/>
      <x:c r="E150" s="2"/>
      <x:c r="F150" s="2"/>
      <x:c r="G150" s="2"/>
      <x:c r="H150" s="2"/>
      <x:c r="I150" s="2"/>
    </x:row>
    <x:row r="151">
      <x:c r="A151" s="2"/>
      <x:c r="B151" s="2"/>
      <x:c r="C151" s="2"/>
      <x:c r="D151" s="2"/>
      <x:c r="E151" s="2"/>
      <x:c r="F151" s="2"/>
      <x:c r="G151" s="2"/>
      <x:c r="H151" s="2"/>
      <x:c r="I151" s="2"/>
    </x:row>
    <x:row r="152">
      <x:c r="A152" s="2"/>
      <x:c r="B152" s="2"/>
      <x:c r="C152" s="2"/>
      <x:c r="D152" s="2"/>
      <x:c r="E152" s="2"/>
      <x:c r="F152" s="2"/>
      <x:c r="G152" s="2"/>
      <x:c r="H152" s="2"/>
      <x:c r="I152" s="2"/>
    </x:row>
    <x:row r="153">
      <x:c r="A153" s="2"/>
      <x:c r="B153" s="2"/>
      <x:c r="C153" s="2"/>
      <x:c r="D153" s="2"/>
      <x:c r="E153" s="2"/>
      <x:c r="F153" s="2"/>
      <x:c r="G153" s="2"/>
      <x:c r="H153" s="2"/>
      <x:c r="I153" s="2"/>
    </x:row>
    <x:row r="154">
      <x:c r="A154" s="2"/>
      <x:c r="B154" s="2"/>
      <x:c r="C154" s="2"/>
      <x:c r="D154" s="2"/>
      <x:c r="E154" s="2"/>
      <x:c r="F154" s="2"/>
      <x:c r="G154" s="2"/>
      <x:c r="H154" s="2"/>
      <x:c r="I154" s="2"/>
    </x:row>
    <x:row r="155">
      <x:c r="A155" s="2"/>
      <x:c r="B155" s="2"/>
      <x:c r="C155" s="2"/>
      <x:c r="D155" s="2"/>
      <x:c r="E155" s="2"/>
      <x:c r="F155" s="2"/>
      <x:c r="G155" s="2"/>
      <x:c r="H155" s="2"/>
      <x:c r="I155" s="2"/>
    </x:row>
    <x:row r="156">
      <x:c r="A156" s="2"/>
      <x:c r="B156" s="2"/>
      <x:c r="C156" s="2"/>
      <x:c r="D156" s="2"/>
      <x:c r="E156" s="2"/>
      <x:c r="F156" s="2"/>
      <x:c r="G156" s="2"/>
      <x:c r="H156" s="2"/>
      <x:c r="I156" s="2"/>
    </x:row>
    <x:row r="157">
      <x:c r="A157" s="2"/>
      <x:c r="B157" s="2"/>
      <x:c r="C157" s="2"/>
      <x:c r="D157" s="2"/>
      <x:c r="E157" s="2"/>
      <x:c r="F157" s="2"/>
      <x:c r="G157" s="2"/>
      <x:c r="H157" s="2"/>
      <x:c r="I157" s="2"/>
    </x:row>
    <x:row r="158">
      <x:c r="A158" s="2"/>
      <x:c r="B158" s="2"/>
      <x:c r="C158" s="2"/>
      <x:c r="D158" s="2"/>
      <x:c r="E158" s="2"/>
      <x:c r="F158" s="2"/>
      <x:c r="G158" s="2"/>
      <x:c r="H158" s="2"/>
      <x:c r="I158" s="2"/>
    </x:row>
    <x:row r="159">
      <x:c r="A159" s="2"/>
      <x:c r="B159" s="2"/>
      <x:c r="C159" s="2"/>
      <x:c r="D159" s="2"/>
      <x:c r="E159" s="2"/>
      <x:c r="F159" s="2"/>
      <x:c r="G159" s="2"/>
      <x:c r="H159" s="2"/>
      <x:c r="I159" s="2"/>
    </x:row>
    <x:row r="160">
      <x:c r="A160" s="2"/>
      <x:c r="B160" s="2"/>
      <x:c r="C160" s="2"/>
      <x:c r="D160" s="2"/>
      <x:c r="E160" s="2"/>
      <x:c r="F160" s="2"/>
      <x:c r="G160" s="2"/>
      <x:c r="H160" s="2"/>
      <x:c r="I160" s="2"/>
    </x:row>
    <x:row r="161">
      <x:c r="A161" s="2"/>
      <x:c r="B161" s="2"/>
      <x:c r="C161" s="2"/>
      <x:c r="D161" s="2"/>
      <x:c r="E161" s="2"/>
      <x:c r="F161" s="2"/>
      <x:c r="G161" s="2"/>
      <x:c r="H161" s="2"/>
      <x:c r="I161" s="2"/>
    </x:row>
    <x:row r="162">
      <x:c r="A162" s="2"/>
      <x:c r="B162" s="2"/>
      <x:c r="C162" s="2"/>
      <x:c r="D162" s="2"/>
      <x:c r="E162" s="2"/>
      <x:c r="F162" s="2"/>
      <x:c r="G162" s="2"/>
      <x:c r="H162" s="2"/>
      <x:c r="I162" s="2"/>
    </x:row>
    <x:row r="163">
      <x:c r="A163" s="2"/>
      <x:c r="B163" s="2"/>
      <x:c r="C163" s="2"/>
      <x:c r="D163" s="2"/>
      <x:c r="E163" s="2"/>
      <x:c r="F163" s="2"/>
      <x:c r="G163" s="2"/>
      <x:c r="H163" s="2"/>
      <x:c r="I163" s="2"/>
    </x:row>
    <x:row r="164">
      <x:c r="A164" s="2"/>
      <x:c r="B164" s="2"/>
      <x:c r="C164" s="2"/>
      <x:c r="D164" s="2"/>
      <x:c r="E164" s="2"/>
      <x:c r="F164" s="2"/>
      <x:c r="G164" s="2"/>
      <x:c r="H164" s="2"/>
      <x:c r="I164" s="2"/>
    </x:row>
    <x:row r="165">
      <x:c r="A165" s="2"/>
      <x:c r="B165" s="2"/>
      <x:c r="C165" s="2"/>
      <x:c r="D165" s="2"/>
      <x:c r="E165" s="2"/>
      <x:c r="F165" s="2"/>
      <x:c r="G165" s="2"/>
      <x:c r="H165" s="2"/>
      <x:c r="I165" s="2"/>
    </x:row>
    <x:row r="166">
      <x:c r="A166" s="2"/>
      <x:c r="B166" s="2"/>
      <x:c r="C166" s="2"/>
      <x:c r="D166" s="2"/>
      <x:c r="E166" s="2"/>
      <x:c r="F166" s="2"/>
      <x:c r="G166" s="2"/>
      <x:c r="H166" s="2"/>
      <x:c r="I166" s="2"/>
    </x:row>
    <x:row r="167">
      <x:c r="A167" s="2"/>
      <x:c r="B167" s="2"/>
      <x:c r="C167" s="2"/>
      <x:c r="D167" s="2"/>
      <x:c r="E167" s="2"/>
      <x:c r="F167" s="2"/>
      <x:c r="G167" s="2"/>
      <x:c r="H167" s="2"/>
      <x:c r="I167" s="2"/>
    </x:row>
    <x:row r="168">
      <x:c r="A168" s="2"/>
      <x:c r="B168" s="2"/>
      <x:c r="C168" s="2"/>
      <x:c r="D168" s="2"/>
      <x:c r="E168" s="2"/>
      <x:c r="F168" s="2"/>
      <x:c r="G168" s="2"/>
      <x:c r="H168" s="2"/>
      <x:c r="I168" s="2"/>
    </x:row>
    <x:row r="169">
      <x:c r="A169" s="2"/>
      <x:c r="B169" s="2"/>
      <x:c r="C169" s="2"/>
      <x:c r="D169" s="2"/>
      <x:c r="E169" s="2"/>
      <x:c r="F169" s="2"/>
      <x:c r="G169" s="2"/>
      <x:c r="H169" s="2"/>
      <x:c r="I169" s="2"/>
    </x:row>
    <x:row r="170">
      <x:c r="A170" s="2"/>
      <x:c r="B170" s="2"/>
      <x:c r="C170" s="2"/>
      <x:c r="D170" s="2"/>
      <x:c r="E170" s="2"/>
      <x:c r="F170" s="2"/>
      <x:c r="G170" s="2"/>
      <x:c r="H170" s="2"/>
      <x:c r="I170" s="2"/>
    </x:row>
    <x:row r="171">
      <x:c r="A171" s="2"/>
      <x:c r="B171" s="2"/>
      <x:c r="C171" s="2"/>
      <x:c r="D171" s="2"/>
      <x:c r="E171" s="2"/>
      <x:c r="F171" s="2"/>
      <x:c r="G171" s="2"/>
      <x:c r="H171" s="2"/>
      <x:c r="I171" s="2"/>
    </x:row>
    <x:row r="172">
      <x:c r="A172" s="2"/>
      <x:c r="B172" s="2"/>
      <x:c r="C172" s="2"/>
      <x:c r="D172" s="2"/>
      <x:c r="E172" s="2"/>
      <x:c r="F172" s="2"/>
      <x:c r="G172" s="2"/>
      <x:c r="H172" s="2"/>
      <x:c r="I172" s="2"/>
    </x:row>
    <x:row r="173">
      <x:c r="A173" s="2"/>
      <x:c r="B173" s="2"/>
      <x:c r="C173" s="2"/>
      <x:c r="D173" s="2"/>
      <x:c r="E173" s="2"/>
      <x:c r="F173" s="2"/>
      <x:c r="G173" s="2"/>
      <x:c r="H173" s="2"/>
      <x:c r="I173" s="2"/>
    </x:row>
    <x:row r="174">
      <x:c r="A174" s="2"/>
      <x:c r="B174" s="2"/>
      <x:c r="C174" s="2"/>
      <x:c r="D174" s="2"/>
      <x:c r="E174" s="2"/>
      <x:c r="F174" s="2"/>
      <x:c r="G174" s="2"/>
      <x:c r="H174" s="2"/>
      <x:c r="I174" s="2"/>
    </x:row>
    <x:row r="175">
      <x:c r="A175" s="2"/>
      <x:c r="B175" s="2"/>
      <x:c r="C175" s="2"/>
      <x:c r="D175" s="2"/>
      <x:c r="E175" s="2"/>
      <x:c r="F175" s="2"/>
      <x:c r="G175" s="2"/>
      <x:c r="H175" s="2"/>
      <x:c r="I175" s="2"/>
    </x:row>
    <x:row r="176">
      <x:c r="A176" s="2"/>
      <x:c r="B176" s="2"/>
      <x:c r="C176" s="2"/>
      <x:c r="D176" s="2"/>
      <x:c r="E176" s="2"/>
      <x:c r="F176" s="2"/>
      <x:c r="G176" s="2"/>
      <x:c r="H176" s="2"/>
      <x:c r="I176" s="2"/>
    </x:row>
    <x:row r="177">
      <x:c r="A177" s="2"/>
      <x:c r="B177" s="2"/>
      <x:c r="C177" s="2"/>
      <x:c r="D177" s="2"/>
      <x:c r="E177" s="2"/>
      <x:c r="F177" s="2"/>
      <x:c r="G177" s="2"/>
      <x:c r="H177" s="2"/>
      <x:c r="I177" s="2"/>
    </x:row>
    <x:row r="178">
      <x:c r="A178" s="2"/>
      <x:c r="B178" s="2"/>
      <x:c r="C178" s="2"/>
      <x:c r="D178" s="2"/>
      <x:c r="E178" s="2"/>
      <x:c r="F178" s="2"/>
      <x:c r="G178" s="2"/>
      <x:c r="H178" s="2"/>
      <x:c r="I178" s="2"/>
    </x:row>
    <x:row r="179">
      <x:c r="A179" s="2"/>
      <x:c r="B179" s="2"/>
      <x:c r="C179" s="2"/>
      <x:c r="D179" s="2"/>
      <x:c r="E179" s="2"/>
      <x:c r="F179" s="2"/>
      <x:c r="G179" s="2"/>
      <x:c r="H179" s="2"/>
      <x:c r="I179" s="2"/>
    </x:row>
    <x:row r="180">
      <x:c r="A180" s="2"/>
      <x:c r="B180" s="2"/>
      <x:c r="C180" s="2"/>
      <x:c r="D180" s="2"/>
      <x:c r="E180" s="2"/>
      <x:c r="F180" s="2"/>
      <x:c r="G180" s="2"/>
      <x:c r="H180" s="2"/>
      <x:c r="I180" s="2"/>
    </x:row>
    <x:row r="181">
      <x:c r="A181" s="2"/>
      <x:c r="B181" s="2"/>
      <x:c r="C181" s="2"/>
      <x:c r="D181" s="2"/>
      <x:c r="E181" s="2"/>
      <x:c r="F181" s="2"/>
      <x:c r="G181" s="2"/>
      <x:c r="H181" s="2"/>
      <x:c r="I181" s="2"/>
    </x:row>
    <x:row r="182">
      <x:c r="A182" s="2"/>
      <x:c r="B182" s="2"/>
      <x:c r="C182" s="2"/>
      <x:c r="D182" s="2"/>
      <x:c r="E182" s="2"/>
      <x:c r="F182" s="2"/>
      <x:c r="G182" s="2"/>
      <x:c r="H182" s="2"/>
      <x:c r="I182" s="2"/>
    </x:row>
    <x:row r="183">
      <x:c r="A183" s="2"/>
      <x:c r="B183" s="2"/>
      <x:c r="C183" s="2"/>
      <x:c r="D183" s="2"/>
      <x:c r="E183" s="2"/>
      <x:c r="F183" s="2"/>
      <x:c r="G183" s="2"/>
      <x:c r="H183" s="2"/>
      <x:c r="I183" s="2"/>
    </x:row>
    <x:row r="184">
      <x:c r="A184" s="2"/>
      <x:c r="B184" s="2"/>
      <x:c r="C184" s="2"/>
      <x:c r="D184" s="2"/>
      <x:c r="E184" s="2"/>
      <x:c r="F184" s="2"/>
      <x:c r="G184" s="2"/>
      <x:c r="H184" s="2"/>
      <x:c r="I184" s="2"/>
    </x:row>
    <x:row r="185">
      <x:c r="A185" s="2"/>
      <x:c r="B185" s="2"/>
      <x:c r="C185" s="2"/>
      <x:c r="D185" s="2"/>
      <x:c r="E185" s="2"/>
      <x:c r="F185" s="2"/>
      <x:c r="G185" s="2"/>
      <x:c r="H185" s="2"/>
      <x:c r="I185" s="2"/>
    </x:row>
    <x:row r="186">
      <x:c r="A186" s="2"/>
      <x:c r="B186" s="2"/>
      <x:c r="C186" s="2"/>
      <x:c r="D186" s="2"/>
      <x:c r="E186" s="2"/>
      <x:c r="F186" s="2"/>
      <x:c r="G186" s="2"/>
      <x:c r="H186" s="2"/>
      <x:c r="I186" s="2"/>
    </x:row>
    <x:row r="187">
      <x:c r="A187" s="2"/>
      <x:c r="B187" s="2"/>
      <x:c r="C187" s="2"/>
      <x:c r="D187" s="2"/>
      <x:c r="E187" s="2"/>
      <x:c r="F187" s="2"/>
      <x:c r="G187" s="2"/>
      <x:c r="H187" s="2"/>
      <x:c r="I187" s="2"/>
    </x:row>
    <x:row r="188">
      <x:c r="A188" s="2"/>
      <x:c r="B188" s="2"/>
      <x:c r="C188" s="2"/>
      <x:c r="D188" s="2"/>
      <x:c r="E188" s="2"/>
      <x:c r="F188" s="2"/>
      <x:c r="G188" s="2"/>
      <x:c r="H188" s="2"/>
      <x:c r="I188" s="2"/>
    </x:row>
    <x:row r="189">
      <x:c r="A189" s="2"/>
      <x:c r="B189" s="2"/>
      <x:c r="C189" s="2"/>
      <x:c r="D189" s="2"/>
      <x:c r="E189" s="2"/>
      <x:c r="F189" s="2"/>
      <x:c r="G189" s="2"/>
      <x:c r="H189" s="2"/>
      <x:c r="I189" s="2"/>
    </x:row>
    <x:row r="190">
      <x:c r="A190" s="2"/>
      <x:c r="B190" s="2"/>
      <x:c r="C190" s="2"/>
      <x:c r="D190" s="2"/>
      <x:c r="E190" s="2"/>
      <x:c r="F190" s="2"/>
      <x:c r="G190" s="2"/>
      <x:c r="H190" s="2"/>
      <x:c r="I190" s="2"/>
    </x:row>
    <x:row r="191">
      <x:c r="A191" s="2"/>
      <x:c r="B191" s="2"/>
      <x:c r="C191" s="2"/>
      <x:c r="D191" s="2"/>
      <x:c r="E191" s="2"/>
      <x:c r="F191" s="2"/>
      <x:c r="G191" s="2"/>
      <x:c r="H191" s="2"/>
      <x:c r="I191" s="2"/>
    </x:row>
    <x:row r="192">
      <x:c r="A192" s="2"/>
      <x:c r="B192" s="2"/>
      <x:c r="C192" s="2"/>
      <x:c r="D192" s="2"/>
      <x:c r="E192" s="2"/>
      <x:c r="F192" s="2"/>
      <x:c r="G192" s="2"/>
      <x:c r="H192" s="2"/>
      <x:c r="I192" s="2"/>
    </x:row>
    <x:row r="193">
      <x:c r="A193" s="2"/>
      <x:c r="B193" s="2"/>
      <x:c r="C193" s="2"/>
      <x:c r="D193" s="2"/>
      <x:c r="E193" s="2"/>
      <x:c r="F193" s="2"/>
      <x:c r="G193" s="2"/>
      <x:c r="H193" s="2"/>
      <x:c r="I193" s="2"/>
    </x:row>
    <x:row r="194">
      <x:c r="A194" s="2"/>
      <x:c r="B194" s="2"/>
      <x:c r="C194" s="2"/>
      <x:c r="D194" s="2"/>
      <x:c r="E194" s="2"/>
      <x:c r="F194" s="2"/>
      <x:c r="G194" s="2"/>
      <x:c r="H194" s="2"/>
      <x:c r="I194" s="2"/>
    </x:row>
    <x:row r="195">
      <x:c r="A195" s="2"/>
      <x:c r="B195" s="2"/>
      <x:c r="C195" s="2"/>
      <x:c r="D195" s="2"/>
      <x:c r="E195" s="2"/>
      <x:c r="F195" s="2"/>
      <x:c r="G195" s="2"/>
      <x:c r="H195" s="2"/>
      <x:c r="I195" s="2"/>
    </x:row>
    <x:row r="196">
      <x:c r="A196" s="2"/>
      <x:c r="B196" s="2"/>
      <x:c r="C196" s="2"/>
      <x:c r="D196" s="2"/>
      <x:c r="E196" s="2"/>
      <x:c r="F196" s="2"/>
      <x:c r="G196" s="2"/>
      <x:c r="H196" s="2"/>
      <x:c r="I196" s="2"/>
    </x:row>
    <x:row r="197">
      <x:c r="A197" s="2"/>
      <x:c r="B197" s="2"/>
      <x:c r="C197" s="2"/>
      <x:c r="D197" s="2"/>
      <x:c r="E197" s="2"/>
      <x:c r="F197" s="2"/>
      <x:c r="G197" s="2"/>
      <x:c r="H197" s="2"/>
      <x:c r="I197" s="2"/>
    </x:row>
    <x:row r="198">
      <x:c r="A198" s="2"/>
      <x:c r="B198" s="2"/>
      <x:c r="C198" s="2"/>
      <x:c r="D198" s="2"/>
      <x:c r="E198" s="2"/>
      <x:c r="F198" s="2"/>
      <x:c r="G198" s="2"/>
      <x:c r="H198" s="2"/>
      <x:c r="I198" s="2"/>
    </x:row>
    <x:row r="199">
      <x:c r="A199" s="2"/>
      <x:c r="B199" s="2"/>
      <x:c r="C199" s="2"/>
      <x:c r="D199" s="2"/>
      <x:c r="E199" s="2"/>
      <x:c r="F199" s="2"/>
      <x:c r="G199" s="2"/>
      <x:c r="H199" s="2"/>
      <x:c r="I199" s="2"/>
    </x:row>
    <x:row r="200">
      <x:c r="A200" s="2"/>
      <x:c r="B200" s="2"/>
      <x:c r="C200" s="2"/>
      <x:c r="D200" s="2"/>
      <x:c r="E200" s="2"/>
      <x:c r="F200" s="2"/>
      <x:c r="G200" s="2"/>
      <x:c r="H200" s="2"/>
      <x:c r="I200" s="2"/>
    </x:row>
    <x:row r="201">
      <x:c r="A201" s="2"/>
      <x:c r="B201" s="2"/>
      <x:c r="C201" s="2"/>
      <x:c r="D201" s="2"/>
      <x:c r="E201" s="2"/>
      <x:c r="F201" s="2"/>
      <x:c r="G201" s="2"/>
      <x:c r="H201" s="2"/>
      <x:c r="I201" s="2"/>
    </x:row>
    <x:row r="202">
      <x:c r="A202" s="2"/>
      <x:c r="B202" s="2"/>
      <x:c r="C202" s="2"/>
      <x:c r="D202" s="2"/>
      <x:c r="E202" s="2"/>
      <x:c r="F202" s="2"/>
      <x:c r="G202" s="2"/>
      <x:c r="H202" s="2"/>
      <x:c r="I202" s="2"/>
    </x:row>
    <x:row r="203">
      <x:c r="A203" s="2"/>
      <x:c r="B203" s="2"/>
      <x:c r="C203" s="2"/>
      <x:c r="D203" s="2"/>
      <x:c r="E203" s="2"/>
      <x:c r="F203" s="2"/>
      <x:c r="G203" s="2"/>
      <x:c r="H203" s="2"/>
      <x:c r="I203" s="2"/>
    </x:row>
    <x:row r="204">
      <x:c r="A204" s="2"/>
      <x:c r="B204" s="2"/>
      <x:c r="C204" s="2"/>
      <x:c r="D204" s="2"/>
      <x:c r="E204" s="2"/>
      <x:c r="F204" s="2"/>
      <x:c r="G204" s="2"/>
      <x:c r="H204" s="2"/>
      <x:c r="I204" s="2"/>
    </x:row>
    <x:row r="205">
      <x:c r="A205" s="2"/>
      <x:c r="B205" s="2"/>
      <x:c r="C205" s="2"/>
      <x:c r="D205" s="2"/>
      <x:c r="E205" s="2"/>
      <x:c r="F205" s="2"/>
      <x:c r="G205" s="2"/>
      <x:c r="H205" s="2"/>
      <x:c r="I205" s="2"/>
    </x:row>
    <x:row r="206">
      <x:c r="A206" s="2"/>
      <x:c r="B206" s="2"/>
      <x:c r="C206" s="2"/>
      <x:c r="D206" s="2"/>
      <x:c r="E206" s="2"/>
      <x:c r="F206" s="2"/>
      <x:c r="G206" s="2"/>
      <x:c r="H206" s="2"/>
      <x:c r="I206" s="2"/>
    </x:row>
    <x:row r="207">
      <x:c r="A207" s="2"/>
      <x:c r="B207" s="2"/>
      <x:c r="C207" s="2"/>
      <x:c r="D207" s="2"/>
      <x:c r="E207" s="2"/>
      <x:c r="F207" s="2"/>
      <x:c r="G207" s="2"/>
      <x:c r="H207" s="2"/>
      <x:c r="I207" s="2"/>
    </x:row>
    <x:row r="208">
      <x:c r="A208" s="2"/>
      <x:c r="B208" s="2"/>
      <x:c r="C208" s="2"/>
      <x:c r="D208" s="2"/>
      <x:c r="E208" s="2"/>
      <x:c r="F208" s="2"/>
      <x:c r="G208" s="2"/>
      <x:c r="H208" s="2"/>
      <x:c r="I208" s="2"/>
    </x:row>
    <x:row r="209">
      <x:c r="A209" s="2"/>
      <x:c r="B209" s="2"/>
      <x:c r="C209" s="2"/>
      <x:c r="D209" s="2"/>
      <x:c r="E209" s="2"/>
      <x:c r="F209" s="2"/>
      <x:c r="G209" s="2"/>
      <x:c r="H209" s="2"/>
      <x:c r="I209" s="2"/>
    </x:row>
    <x:row r="210">
      <x:c r="A210" s="2"/>
      <x:c r="B210" s="2"/>
      <x:c r="C210" s="2"/>
      <x:c r="D210" s="2"/>
      <x:c r="E210" s="2"/>
      <x:c r="F210" s="2"/>
      <x:c r="G210" s="2"/>
      <x:c r="H210" s="2"/>
      <x:c r="I210" s="2"/>
    </x:row>
    <x:row r="211">
      <x:c r="A211" s="2"/>
      <x:c r="B211" s="2"/>
      <x:c r="C211" s="2"/>
      <x:c r="D211" s="2"/>
      <x:c r="E211" s="2"/>
      <x:c r="F211" s="2"/>
      <x:c r="G211" s="2"/>
      <x:c r="H211" s="2"/>
      <x:c r="I211" s="2"/>
    </x:row>
    <x:row r="212">
      <x:c r="A212" s="2"/>
      <x:c r="B212" s="2"/>
      <x:c r="C212" s="2"/>
      <x:c r="D212" s="2"/>
      <x:c r="E212" s="2"/>
      <x:c r="F212" s="2"/>
      <x:c r="G212" s="2"/>
      <x:c r="H212" s="2"/>
      <x:c r="I212" s="2"/>
    </x:row>
    <x:row r="213">
      <x:c r="A213" s="2"/>
      <x:c r="B213" s="2"/>
      <x:c r="C213" s="2"/>
      <x:c r="D213" s="2"/>
      <x:c r="E213" s="2"/>
      <x:c r="F213" s="2"/>
      <x:c r="G213" s="2"/>
      <x:c r="H213" s="2"/>
      <x:c r="I213" s="2"/>
    </x:row>
    <x:row r="214">
      <x:c r="A214" s="2"/>
      <x:c r="B214" s="2"/>
      <x:c r="C214" s="2"/>
      <x:c r="D214" s="2"/>
      <x:c r="E214" s="2"/>
      <x:c r="F214" s="2"/>
      <x:c r="G214" s="2"/>
      <x:c r="H214" s="2"/>
      <x:c r="I214" s="2"/>
    </x:row>
    <x:row r="215">
      <x:c r="A215" s="2"/>
      <x:c r="B215" s="2"/>
      <x:c r="C215" s="2"/>
      <x:c r="D215" s="2"/>
      <x:c r="E215" s="2"/>
      <x:c r="F215" s="2"/>
      <x:c r="G215" s="2"/>
      <x:c r="H215" s="2"/>
      <x:c r="I215" s="2"/>
    </x:row>
    <x:row r="216">
      <x:c r="A216" s="2"/>
      <x:c r="B216" s="2"/>
      <x:c r="C216" s="2"/>
      <x:c r="D216" s="2"/>
      <x:c r="E216" s="2"/>
      <x:c r="F216" s="2"/>
      <x:c r="G216" s="2"/>
      <x:c r="H216" s="2"/>
      <x:c r="I216" s="2"/>
    </x:row>
    <x:row r="217">
      <x:c r="A217" s="2"/>
      <x:c r="B217" s="2"/>
      <x:c r="C217" s="2"/>
      <x:c r="D217" s="2"/>
      <x:c r="E217" s="2"/>
      <x:c r="F217" s="2"/>
      <x:c r="G217" s="2"/>
      <x:c r="H217" s="2"/>
      <x:c r="I217" s="2"/>
    </x:row>
    <x:row r="218">
      <x:c r="A218" s="2"/>
      <x:c r="B218" s="2"/>
      <x:c r="C218" s="2"/>
      <x:c r="D218" s="2"/>
      <x:c r="E218" s="2"/>
      <x:c r="F218" s="2"/>
      <x:c r="G218" s="2"/>
      <x:c r="H218" s="2"/>
      <x:c r="I218" s="2"/>
    </x:row>
    <x:row r="219">
      <x:c r="A219" s="2"/>
      <x:c r="B219" s="2"/>
      <x:c r="C219" s="2"/>
      <x:c r="D219" s="2"/>
      <x:c r="E219" s="2"/>
      <x:c r="F219" s="2"/>
      <x:c r="G219" s="2"/>
      <x:c r="H219" s="2"/>
      <x:c r="I219" s="2"/>
    </x:row>
    <x:row r="220">
      <x:c r="A220" s="2"/>
      <x:c r="B220" s="2"/>
      <x:c r="C220" s="2"/>
      <x:c r="D220" s="2"/>
      <x:c r="E220" s="2"/>
      <x:c r="F220" s="2"/>
      <x:c r="G220" s="2"/>
      <x:c r="H220" s="2"/>
      <x:c r="I220" s="2"/>
    </x:row>
    <x:row r="221">
      <x:c r="A221" s="2"/>
      <x:c r="B221" s="2"/>
      <x:c r="C221" s="2"/>
      <x:c r="D221" s="2"/>
      <x:c r="E221" s="2"/>
      <x:c r="F221" s="2"/>
      <x:c r="G221" s="2"/>
      <x:c r="H221" s="2"/>
      <x:c r="I221" s="2"/>
    </x:row>
    <x:row r="222">
      <x:c r="A222" s="2"/>
      <x:c r="B222" s="2"/>
      <x:c r="C222" s="2"/>
      <x:c r="D222" s="2"/>
      <x:c r="E222" s="2"/>
      <x:c r="F222" s="2"/>
      <x:c r="G222" s="2"/>
      <x:c r="H222" s="2"/>
      <x:c r="I222" s="2"/>
    </x:row>
    <x:row r="223">
      <x:c r="A223" s="2"/>
      <x:c r="B223" s="2"/>
      <x:c r="C223" s="2"/>
      <x:c r="D223" s="2"/>
      <x:c r="E223" s="2"/>
      <x:c r="F223" s="2"/>
      <x:c r="G223" s="2"/>
      <x:c r="H223" s="2"/>
      <x:c r="I223" s="2"/>
    </x:row>
    <x:row r="224">
      <x:c r="A224" s="2"/>
      <x:c r="B224" s="2"/>
      <x:c r="C224" s="2"/>
      <x:c r="D224" s="2"/>
      <x:c r="E224" s="2"/>
      <x:c r="F224" s="2"/>
      <x:c r="G224" s="2"/>
      <x:c r="H224" s="2"/>
      <x:c r="I224" s="2"/>
    </x:row>
    <x:row r="225">
      <x:c r="A225" s="2"/>
      <x:c r="B225" s="2"/>
      <x:c r="C225" s="2"/>
      <x:c r="D225" s="2"/>
      <x:c r="E225" s="2"/>
      <x:c r="F225" s="2"/>
      <x:c r="G225" s="2"/>
      <x:c r="H225" s="2"/>
      <x:c r="I225" s="2"/>
    </x:row>
    <x:row r="226">
      <x:c r="A226" s="2"/>
      <x:c r="B226" s="2"/>
      <x:c r="C226" s="2"/>
      <x:c r="D226" s="2"/>
      <x:c r="E226" s="2"/>
      <x:c r="F226" s="2"/>
      <x:c r="G226" s="2"/>
      <x:c r="H226" s="2"/>
      <x:c r="I226" s="2"/>
    </x:row>
    <x:row r="227">
      <x:c r="A227" s="2"/>
      <x:c r="B227" s="2"/>
      <x:c r="C227" s="2"/>
      <x:c r="D227" s="2"/>
      <x:c r="E227" s="2"/>
      <x:c r="F227" s="2"/>
      <x:c r="G227" s="2"/>
      <x:c r="H227" s="2"/>
      <x:c r="I227" s="2"/>
    </x:row>
    <x:row r="228">
      <x:c r="A228" s="2"/>
      <x:c r="B228" s="2"/>
      <x:c r="C228" s="2"/>
      <x:c r="D228" s="2"/>
      <x:c r="E228" s="2"/>
      <x:c r="F228" s="2"/>
      <x:c r="G228" s="2"/>
      <x:c r="H228" s="2"/>
      <x:c r="I228" s="2"/>
    </x:row>
    <x:row r="229">
      <x:c r="A229" s="2"/>
      <x:c r="B229" s="2"/>
      <x:c r="C229" s="2"/>
      <x:c r="D229" s="2"/>
      <x:c r="E229" s="2"/>
      <x:c r="F229" s="2"/>
      <x:c r="G229" s="2"/>
      <x:c r="H229" s="2"/>
      <x:c r="I229" s="2"/>
    </x:row>
    <x:row r="230">
      <x:c r="A230" s="2"/>
      <x:c r="B230" s="2"/>
      <x:c r="C230" s="2"/>
      <x:c r="D230" s="2"/>
      <x:c r="E230" s="2"/>
      <x:c r="F230" s="2"/>
      <x:c r="G230" s="2"/>
      <x:c r="H230" s="2"/>
      <x:c r="I230" s="2"/>
    </x:row>
    <x:row r="231">
      <x:c r="A231" s="2"/>
      <x:c r="B231" s="2"/>
      <x:c r="C231" s="2"/>
      <x:c r="D231" s="2"/>
      <x:c r="E231" s="2"/>
      <x:c r="F231" s="2"/>
      <x:c r="G231" s="2"/>
      <x:c r="H231" s="2"/>
      <x:c r="I231" s="2"/>
    </x:row>
    <x:row r="232">
      <x:c r="A232" s="2"/>
      <x:c r="B232" s="2"/>
      <x:c r="C232" s="2"/>
      <x:c r="D232" s="2"/>
      <x:c r="E232" s="2"/>
      <x:c r="F232" s="2"/>
      <x:c r="G232" s="2"/>
      <x:c r="H232" s="2"/>
      <x:c r="I232" s="2"/>
    </x:row>
    <x:row r="233">
      <x:c r="A233" s="2"/>
      <x:c r="B233" s="2"/>
      <x:c r="C233" s="2"/>
      <x:c r="D233" s="2"/>
      <x:c r="E233" s="2"/>
      <x:c r="F233" s="2"/>
      <x:c r="G233" s="2"/>
      <x:c r="H233" s="2"/>
      <x:c r="I233" s="2"/>
    </x:row>
    <x:row r="234">
      <x:c r="A234" s="2"/>
      <x:c r="B234" s="2"/>
      <x:c r="C234" s="2"/>
      <x:c r="D234" s="2"/>
      <x:c r="E234" s="2"/>
      <x:c r="F234" s="2"/>
      <x:c r="G234" s="2"/>
      <x:c r="H234" s="2"/>
      <x:c r="I234" s="2"/>
    </x:row>
    <x:row r="235">
      <x:c r="A235" s="2"/>
      <x:c r="B235" s="2"/>
      <x:c r="C235" s="2"/>
      <x:c r="D235" s="2"/>
      <x:c r="E235" s="2"/>
      <x:c r="F235" s="2"/>
      <x:c r="G235" s="2"/>
      <x:c r="H235" s="2"/>
      <x:c r="I235" s="2"/>
    </x:row>
    <x:row r="236">
      <x:c r="A236" s="2"/>
      <x:c r="B236" s="2"/>
      <x:c r="C236" s="2"/>
      <x:c r="D236" s="2"/>
      <x:c r="E236" s="2"/>
      <x:c r="F236" s="2"/>
      <x:c r="G236" s="2"/>
      <x:c r="H236" s="2"/>
      <x:c r="I236" s="2"/>
    </x:row>
    <x:row r="237">
      <x:c r="A237" s="2"/>
      <x:c r="B237" s="2"/>
      <x:c r="C237" s="2"/>
      <x:c r="D237" s="2"/>
      <x:c r="E237" s="2"/>
      <x:c r="F237" s="2"/>
      <x:c r="G237" s="2"/>
      <x:c r="H237" s="2"/>
      <x:c r="I237" s="2"/>
    </x:row>
    <x:row r="238">
      <x:c r="A238" s="2"/>
      <x:c r="B238" s="2"/>
      <x:c r="C238" s="2"/>
      <x:c r="D238" s="2"/>
      <x:c r="E238" s="2"/>
      <x:c r="F238" s="2"/>
      <x:c r="G238" s="2"/>
      <x:c r="H238" s="2"/>
      <x:c r="I238" s="2"/>
    </x:row>
    <x:row r="239">
      <x:c r="A239" s="2"/>
      <x:c r="B239" s="2"/>
      <x:c r="C239" s="2"/>
      <x:c r="D239" s="2"/>
      <x:c r="E239" s="2"/>
      <x:c r="F239" s="2"/>
      <x:c r="G239" s="2"/>
      <x:c r="H239" s="2"/>
      <x:c r="I239" s="2"/>
    </x:row>
    <x:row r="240">
      <x:c r="A240" s="2"/>
      <x:c r="B240" s="2"/>
      <x:c r="C240" s="2"/>
      <x:c r="D240" s="2"/>
      <x:c r="E240" s="2"/>
      <x:c r="F240" s="2"/>
      <x:c r="G240" s="2"/>
      <x:c r="H240" s="2"/>
      <x:c r="I240" s="2"/>
    </x:row>
    <x:row r="241">
      <x:c r="A241" s="2"/>
      <x:c r="B241" s="2"/>
      <x:c r="C241" s="2"/>
      <x:c r="D241" s="2"/>
      <x:c r="E241" s="2"/>
      <x:c r="F241" s="2"/>
      <x:c r="G241" s="2"/>
      <x:c r="H241" s="2"/>
      <x:c r="I241" s="2"/>
    </x:row>
    <x:row r="242">
      <x:c r="A242" s="2"/>
      <x:c r="B242" s="2"/>
      <x:c r="C242" s="2"/>
      <x:c r="D242" s="2"/>
      <x:c r="E242" s="2"/>
      <x:c r="F242" s="2"/>
      <x:c r="G242" s="2"/>
      <x:c r="H242" s="2"/>
      <x:c r="I242" s="2"/>
    </x:row>
    <x:row r="243">
      <x:c r="A243" s="2"/>
      <x:c r="B243" s="2"/>
      <x:c r="C243" s="2"/>
      <x:c r="D243" s="2"/>
      <x:c r="E243" s="2"/>
      <x:c r="F243" s="2"/>
      <x:c r="G243" s="2"/>
      <x:c r="H243" s="2"/>
      <x:c r="I243" s="2"/>
    </x:row>
    <x:row r="244">
      <x:c r="A244" s="2"/>
      <x:c r="B244" s="2"/>
      <x:c r="C244" s="2"/>
      <x:c r="D244" s="2"/>
      <x:c r="E244" s="2"/>
      <x:c r="F244" s="2"/>
      <x:c r="G244" s="2"/>
      <x:c r="H244" s="2"/>
      <x:c r="I244" s="2"/>
    </x:row>
    <x:row r="245">
      <x:c r="A245" s="2"/>
      <x:c r="B245" s="2"/>
      <x:c r="C245" s="2"/>
      <x:c r="D245" s="2"/>
      <x:c r="E245" s="2"/>
      <x:c r="F245" s="2"/>
      <x:c r="G245" s="2"/>
      <x:c r="H245" s="2"/>
      <x:c r="I245" s="2"/>
    </x:row>
    <x:row r="246">
      <x:c r="A246" s="2"/>
      <x:c r="B246" s="2"/>
      <x:c r="C246" s="2"/>
      <x:c r="D246" s="2"/>
      <x:c r="E246" s="2"/>
      <x:c r="F246" s="2"/>
      <x:c r="G246" s="2"/>
      <x:c r="H246" s="2"/>
      <x:c r="I246" s="2"/>
    </x:row>
    <x:row r="247">
      <x:c r="A247" s="2"/>
      <x:c r="B247" s="2"/>
      <x:c r="C247" s="2"/>
      <x:c r="D247" s="2"/>
      <x:c r="E247" s="2"/>
      <x:c r="F247" s="2"/>
      <x:c r="G247" s="2"/>
      <x:c r="H247" s="2"/>
      <x:c r="I247" s="2"/>
    </x:row>
    <x:row r="248">
      <x:c r="A248" s="2"/>
      <x:c r="B248" s="2"/>
      <x:c r="C248" s="2"/>
      <x:c r="D248" s="2"/>
      <x:c r="E248" s="2"/>
      <x:c r="F248" s="2"/>
      <x:c r="G248" s="2"/>
      <x:c r="H248" s="2"/>
      <x:c r="I248" s="2"/>
    </x:row>
    <x:row r="249">
      <x:c r="A249" s="2"/>
      <x:c r="B249" s="2"/>
      <x:c r="C249" s="2"/>
      <x:c r="D249" s="2"/>
      <x:c r="E249" s="2"/>
      <x:c r="F249" s="2"/>
      <x:c r="G249" s="2"/>
      <x:c r="H249" s="2"/>
      <x:c r="I249" s="2"/>
    </x:row>
    <x:row r="250">
      <x:c r="A250" s="2"/>
      <x:c r="B250" s="2"/>
      <x:c r="C250" s="2"/>
      <x:c r="D250" s="2"/>
      <x:c r="E250" s="2"/>
      <x:c r="F250" s="2"/>
      <x:c r="G250" s="2"/>
      <x:c r="H250" s="2"/>
      <x:c r="I250" s="2"/>
    </x:row>
    <x:row r="251">
      <x:c r="A251" s="2"/>
      <x:c r="B251" s="2"/>
      <x:c r="C251" s="2"/>
      <x:c r="D251" s="2"/>
      <x:c r="E251" s="2"/>
      <x:c r="F251" s="2"/>
      <x:c r="G251" s="2"/>
      <x:c r="H251" s="2"/>
      <x:c r="I251" s="2"/>
    </x:row>
    <x:row r="252">
      <x:c r="A252" s="2"/>
      <x:c r="B252" s="2"/>
      <x:c r="C252" s="2"/>
      <x:c r="D252" s="2"/>
      <x:c r="E252" s="2"/>
      <x:c r="F252" s="2"/>
      <x:c r="G252" s="2"/>
      <x:c r="H252" s="2"/>
      <x:c r="I252" s="2"/>
    </x:row>
    <x:row r="253">
      <x:c r="A253" s="2"/>
      <x:c r="B253" s="2"/>
      <x:c r="C253" s="2"/>
      <x:c r="D253" s="2"/>
      <x:c r="E253" s="2"/>
      <x:c r="F253" s="2"/>
      <x:c r="G253" s="2"/>
      <x:c r="H253" s="2"/>
      <x:c r="I253" s="2"/>
    </x:row>
    <x:row r="254">
      <x:c r="A254" s="2"/>
      <x:c r="B254" s="2"/>
      <x:c r="C254" s="2"/>
      <x:c r="D254" s="2"/>
      <x:c r="E254" s="2"/>
      <x:c r="F254" s="2"/>
      <x:c r="G254" s="2"/>
      <x:c r="H254" s="2"/>
      <x:c r="I254" s="2"/>
    </x:row>
    <x:row r="255">
      <x:c r="A255" s="2"/>
      <x:c r="B255" s="2"/>
      <x:c r="C255" s="2"/>
      <x:c r="D255" s="2"/>
      <x:c r="E255" s="2"/>
      <x:c r="F255" s="2"/>
      <x:c r="G255" s="2"/>
      <x:c r="H255" s="2"/>
      <x:c r="I255" s="2"/>
    </x:row>
    <x:row r="256">
      <x:c r="A256" s="2"/>
      <x:c r="B256" s="2"/>
      <x:c r="C256" s="2"/>
      <x:c r="D256" s="2"/>
      <x:c r="E256" s="2"/>
      <x:c r="F256" s="2"/>
      <x:c r="G256" s="2"/>
      <x:c r="H256" s="2"/>
      <x:c r="I256" s="2"/>
    </x:row>
    <x:row r="257">
      <x:c r="A257" s="2"/>
      <x:c r="B257" s="2"/>
      <x:c r="C257" s="2"/>
      <x:c r="D257" s="2"/>
      <x:c r="E257" s="2"/>
      <x:c r="F257" s="2"/>
      <x:c r="G257" s="2"/>
      <x:c r="H257" s="2"/>
      <x:c r="I257" s="2"/>
    </x:row>
    <x:row r="258">
      <x:c r="A258" s="2"/>
      <x:c r="B258" s="2"/>
      <x:c r="C258" s="2"/>
      <x:c r="D258" s="2"/>
      <x:c r="E258" s="2"/>
      <x:c r="F258" s="2"/>
      <x:c r="G258" s="2"/>
      <x:c r="H258" s="2"/>
      <x:c r="I258" s="2"/>
    </x:row>
    <x:row r="259">
      <x:c r="A259" s="2"/>
      <x:c r="B259" s="2"/>
      <x:c r="C259" s="2"/>
      <x:c r="D259" s="2"/>
      <x:c r="E259" s="2"/>
      <x:c r="F259" s="2"/>
      <x:c r="G259" s="2"/>
      <x:c r="H259" s="2"/>
      <x:c r="I259" s="2"/>
    </x:row>
    <x:row r="260">
      <x:c r="A260" s="2"/>
      <x:c r="B260" s="2"/>
      <x:c r="C260" s="2"/>
      <x:c r="D260" s="2"/>
      <x:c r="E260" s="2"/>
      <x:c r="F260" s="2"/>
      <x:c r="G260" s="2"/>
      <x:c r="H260" s="2"/>
      <x:c r="I260" s="2"/>
    </x:row>
    <x:row r="261">
      <x:c r="A261" s="2"/>
      <x:c r="B261" s="2"/>
      <x:c r="C261" s="2"/>
      <x:c r="D261" s="2"/>
      <x:c r="E261" s="2"/>
      <x:c r="F261" s="2"/>
      <x:c r="G261" s="2"/>
      <x:c r="H261" s="2"/>
      <x:c r="I261" s="2"/>
    </x:row>
    <x:row r="262">
      <x:c r="A262" s="2"/>
      <x:c r="B262" s="2"/>
      <x:c r="C262" s="2"/>
      <x:c r="D262" s="2"/>
      <x:c r="E262" s="2"/>
      <x:c r="F262" s="2"/>
      <x:c r="G262" s="2"/>
      <x:c r="H262" s="2"/>
      <x:c r="I262" s="2"/>
    </x:row>
    <x:row r="263">
      <x:c r="A263" s="2"/>
      <x:c r="B263" s="2"/>
      <x:c r="C263" s="2"/>
      <x:c r="D263" s="2"/>
      <x:c r="E263" s="2"/>
      <x:c r="F263" s="2"/>
      <x:c r="G263" s="2"/>
      <x:c r="H263" s="2"/>
      <x:c r="I263" s="2"/>
    </x:row>
    <x:row r="264">
      <x:c r="A264" s="2"/>
      <x:c r="B264" s="2"/>
      <x:c r="C264" s="2"/>
      <x:c r="D264" s="2"/>
      <x:c r="E264" s="2"/>
      <x:c r="F264" s="2"/>
      <x:c r="G264" s="2"/>
      <x:c r="H264" s="2"/>
      <x:c r="I264" s="2"/>
    </x:row>
    <x:row r="265">
      <x:c r="A265" s="2"/>
      <x:c r="B265" s="2"/>
      <x:c r="C265" s="2"/>
      <x:c r="D265" s="2"/>
      <x:c r="E265" s="2"/>
      <x:c r="F265" s="2"/>
      <x:c r="G265" s="2"/>
      <x:c r="H265" s="2"/>
      <x:c r="I265" s="2"/>
    </x:row>
    <x:row r="266">
      <x:c r="A266" s="2"/>
      <x:c r="B266" s="2"/>
      <x:c r="C266" s="2"/>
      <x:c r="D266" s="2"/>
      <x:c r="E266" s="2"/>
      <x:c r="F266" s="2"/>
      <x:c r="G266" s="2"/>
      <x:c r="H266" s="2"/>
      <x:c r="I266" s="2"/>
    </x:row>
    <x:row r="267">
      <x:c r="A267" s="2"/>
      <x:c r="B267" s="2"/>
      <x:c r="C267" s="2"/>
      <x:c r="D267" s="2"/>
      <x:c r="E267" s="2"/>
      <x:c r="F267" s="2"/>
      <x:c r="G267" s="2"/>
      <x:c r="H267" s="2"/>
      <x:c r="I267" s="2"/>
    </x:row>
    <x:row r="268">
      <x:c r="A268" s="2"/>
      <x:c r="B268" s="2"/>
      <x:c r="C268" s="2"/>
      <x:c r="D268" s="2"/>
      <x:c r="E268" s="2"/>
      <x:c r="F268" s="2"/>
      <x:c r="G268" s="2"/>
      <x:c r="H268" s="2"/>
      <x:c r="I268" s="2"/>
    </x:row>
    <x:row r="269">
      <x:c r="A269" s="2"/>
      <x:c r="B269" s="2"/>
      <x:c r="C269" s="2"/>
      <x:c r="D269" s="2"/>
      <x:c r="E269" s="2"/>
      <x:c r="F269" s="2"/>
      <x:c r="G269" s="2"/>
      <x:c r="H269" s="2"/>
      <x:c r="I269" s="2"/>
    </x:row>
    <x:row r="270">
      <x:c r="A270" s="2"/>
      <x:c r="B270" s="2"/>
      <x:c r="C270" s="2"/>
      <x:c r="D270" s="2"/>
      <x:c r="E270" s="2"/>
      <x:c r="F270" s="2"/>
      <x:c r="G270" s="2"/>
      <x:c r="H270" s="2"/>
      <x:c r="I270" s="2"/>
    </x:row>
    <x:row r="271">
      <x:c r="A271" s="2"/>
      <x:c r="B271" s="2"/>
      <x:c r="C271" s="2"/>
      <x:c r="D271" s="2"/>
      <x:c r="E271" s="2"/>
      <x:c r="F271" s="2"/>
      <x:c r="G271" s="2"/>
      <x:c r="H271" s="2"/>
      <x:c r="I271" s="2"/>
    </x:row>
    <x:row r="272">
      <x:c r="A272" s="2"/>
      <x:c r="B272" s="2"/>
      <x:c r="C272" s="2"/>
      <x:c r="D272" s="2"/>
      <x:c r="E272" s="2"/>
      <x:c r="F272" s="2"/>
      <x:c r="G272" s="2"/>
      <x:c r="H272" s="2"/>
      <x:c r="I272" s="2"/>
    </x:row>
    <x:row r="273">
      <x:c r="A273" s="2"/>
      <x:c r="B273" s="2"/>
      <x:c r="C273" s="2"/>
      <x:c r="D273" s="2"/>
      <x:c r="E273" s="2"/>
      <x:c r="F273" s="2"/>
      <x:c r="G273" s="2"/>
      <x:c r="H273" s="2"/>
      <x:c r="I273" s="2"/>
    </x:row>
    <x:row r="274">
      <x:c r="A274" s="2"/>
      <x:c r="B274" s="2"/>
      <x:c r="C274" s="2"/>
      <x:c r="D274" s="2"/>
      <x:c r="E274" s="2"/>
      <x:c r="F274" s="2"/>
      <x:c r="G274" s="2"/>
      <x:c r="H274" s="2"/>
      <x:c r="I274" s="2"/>
    </x:row>
    <x:row r="275">
      <x:c r="A275" s="2"/>
      <x:c r="B275" s="2"/>
      <x:c r="C275" s="2"/>
      <x:c r="D275" s="2"/>
      <x:c r="E275" s="2"/>
      <x:c r="F275" s="2"/>
      <x:c r="G275" s="2"/>
      <x:c r="H275" s="2"/>
      <x:c r="I275" s="2"/>
    </x:row>
    <x:row r="276">
      <x:c r="A276" s="2"/>
      <x:c r="B276" s="2"/>
      <x:c r="C276" s="2"/>
      <x:c r="D276" s="2"/>
      <x:c r="E276" s="2"/>
      <x:c r="F276" s="2"/>
      <x:c r="G276" s="2"/>
      <x:c r="H276" s="2"/>
      <x:c r="I276" s="2"/>
    </x:row>
    <x:row r="277">
      <x:c r="A277" s="2"/>
      <x:c r="B277" s="2"/>
      <x:c r="C277" s="2"/>
      <x:c r="D277" s="2"/>
      <x:c r="E277" s="2"/>
      <x:c r="F277" s="2"/>
      <x:c r="G277" s="2"/>
      <x:c r="H277" s="2"/>
      <x:c r="I277" s="2"/>
    </x:row>
    <x:row r="278">
      <x:c r="A278" s="2"/>
      <x:c r="B278" s="2"/>
      <x:c r="C278" s="2"/>
      <x:c r="D278" s="2"/>
      <x:c r="E278" s="2"/>
      <x:c r="F278" s="2"/>
      <x:c r="G278" s="2"/>
      <x:c r="H278" s="2"/>
      <x:c r="I278" s="2"/>
    </x:row>
    <x:row r="279">
      <x:c r="A279" s="2"/>
      <x:c r="B279" s="2"/>
      <x:c r="C279" s="2"/>
      <x:c r="D279" s="2"/>
      <x:c r="E279" s="2"/>
      <x:c r="F279" s="2"/>
      <x:c r="G279" s="2"/>
      <x:c r="H279" s="2"/>
      <x:c r="I279" s="2"/>
    </x:row>
    <x:row r="280">
      <x:c r="A280" s="2"/>
      <x:c r="B280" s="2"/>
      <x:c r="C280" s="2"/>
      <x:c r="D280" s="2"/>
      <x:c r="E280" s="2"/>
      <x:c r="F280" s="2"/>
      <x:c r="G280" s="2"/>
      <x:c r="H280" s="2"/>
      <x:c r="I280" s="2"/>
    </x:row>
    <x:row r="281">
      <x:c r="A281" s="2"/>
      <x:c r="B281" s="2"/>
      <x:c r="C281" s="2"/>
      <x:c r="D281" s="2"/>
      <x:c r="E281" s="2"/>
      <x:c r="F281" s="2"/>
      <x:c r="G281" s="2"/>
      <x:c r="H281" s="2"/>
      <x:c r="I281" s="2"/>
    </x:row>
    <x:row r="282">
      <x:c r="A282" s="2"/>
      <x:c r="B282" s="2"/>
      <x:c r="C282" s="2"/>
      <x:c r="D282" s="2"/>
      <x:c r="E282" s="2"/>
      <x:c r="F282" s="2"/>
      <x:c r="G282" s="2"/>
      <x:c r="H282" s="2"/>
      <x:c r="I282" s="2"/>
    </x:row>
    <x:row r="283">
      <x:c r="A283" s="2"/>
      <x:c r="B283" s="2"/>
      <x:c r="C283" s="2"/>
      <x:c r="D283" s="2"/>
      <x:c r="E283" s="2"/>
      <x:c r="F283" s="2"/>
      <x:c r="G283" s="2"/>
      <x:c r="H283" s="2"/>
      <x:c r="I283" s="2"/>
    </x:row>
    <x:row r="284">
      <x:c r="A284" s="2"/>
      <x:c r="B284" s="2"/>
      <x:c r="C284" s="2"/>
      <x:c r="D284" s="2"/>
      <x:c r="E284" s="2"/>
      <x:c r="F284" s="2"/>
      <x:c r="G284" s="2"/>
      <x:c r="H284" s="2"/>
      <x:c r="I284" s="2"/>
    </x:row>
    <x:row r="285">
      <x:c r="A285" s="2"/>
      <x:c r="B285" s="2"/>
      <x:c r="C285" s="2"/>
      <x:c r="D285" s="2"/>
      <x:c r="E285" s="2"/>
      <x:c r="F285" s="2"/>
      <x:c r="G285" s="2"/>
      <x:c r="H285" s="2"/>
      <x:c r="I285" s="2"/>
    </x:row>
    <x:row r="286">
      <x:c r="A286" s="2"/>
      <x:c r="B286" s="2"/>
      <x:c r="C286" s="2"/>
      <x:c r="D286" s="2"/>
      <x:c r="E286" s="2"/>
      <x:c r="F286" s="2"/>
      <x:c r="G286" s="2"/>
      <x:c r="H286" s="2"/>
      <x:c r="I286" s="2"/>
    </x:row>
    <x:row r="287">
      <x:c r="A287" s="2"/>
      <x:c r="B287" s="2"/>
      <x:c r="C287" s="2"/>
      <x:c r="D287" s="2"/>
      <x:c r="E287" s="2"/>
      <x:c r="F287" s="2"/>
      <x:c r="G287" s="2"/>
      <x:c r="H287" s="2"/>
      <x:c r="I287" s="2"/>
    </x:row>
    <x:row r="288">
      <x:c r="A288" s="2"/>
      <x:c r="B288" s="2"/>
      <x:c r="C288" s="2"/>
      <x:c r="D288" s="2"/>
      <x:c r="E288" s="2"/>
      <x:c r="F288" s="2"/>
      <x:c r="G288" s="2"/>
      <x:c r="H288" s="2"/>
      <x:c r="I288" s="2"/>
    </x:row>
    <x:row r="289">
      <x:c r="A289" s="2"/>
      <x:c r="B289" s="2"/>
      <x:c r="C289" s="2"/>
      <x:c r="D289" s="2"/>
      <x:c r="E289" s="2"/>
      <x:c r="F289" s="2"/>
      <x:c r="G289" s="2"/>
      <x:c r="H289" s="2"/>
      <x:c r="I289" s="2"/>
    </x:row>
    <x:row r="290">
      <x:c r="A290" s="2"/>
      <x:c r="B290" s="2"/>
      <x:c r="C290" s="2"/>
      <x:c r="D290" s="2"/>
      <x:c r="E290" s="2"/>
      <x:c r="F290" s="2"/>
      <x:c r="G290" s="2"/>
      <x:c r="H290" s="2"/>
      <x:c r="I290" s="2"/>
    </x:row>
    <x:row r="291">
      <x:c r="A291" s="2"/>
      <x:c r="B291" s="2"/>
      <x:c r="C291" s="2"/>
      <x:c r="D291" s="2"/>
      <x:c r="E291" s="2"/>
      <x:c r="F291" s="2"/>
      <x:c r="G291" s="2"/>
      <x:c r="H291" s="2"/>
      <x:c r="I291" s="2"/>
    </x:row>
    <x:row r="292">
      <x:c r="A292" s="2"/>
      <x:c r="B292" s="2"/>
      <x:c r="C292" s="2"/>
      <x:c r="D292" s="2"/>
      <x:c r="E292" s="2"/>
      <x:c r="F292" s="2"/>
      <x:c r="G292" s="2"/>
      <x:c r="H292" s="2"/>
      <x:c r="I292" s="2"/>
    </x:row>
    <x:row r="293">
      <x:c r="A293" s="2"/>
      <x:c r="B293" s="2"/>
      <x:c r="C293" s="2"/>
      <x:c r="D293" s="2"/>
      <x:c r="E293" s="2"/>
      <x:c r="F293" s="2"/>
      <x:c r="G293" s="2"/>
      <x:c r="H293" s="2"/>
      <x:c r="I293" s="2"/>
    </x:row>
    <x:row r="294">
      <x:c r="A294" s="2"/>
      <x:c r="B294" s="2"/>
      <x:c r="C294" s="2"/>
      <x:c r="D294" s="2"/>
      <x:c r="E294" s="2"/>
      <x:c r="F294" s="2"/>
      <x:c r="G294" s="2"/>
      <x:c r="H294" s="2"/>
      <x:c r="I294" s="2"/>
    </x:row>
    <x:row r="295">
      <x:c r="A295" s="2"/>
      <x:c r="B295" s="2"/>
      <x:c r="C295" s="2"/>
      <x:c r="D295" s="2"/>
      <x:c r="E295" s="2"/>
      <x:c r="F295" s="2"/>
      <x:c r="G295" s="2"/>
      <x:c r="H295" s="2"/>
      <x:c r="I295" s="2"/>
    </x:row>
    <x:row r="296">
      <x:c r="A296" s="2"/>
      <x:c r="B296" s="2"/>
      <x:c r="C296" s="2"/>
      <x:c r="D296" s="2"/>
      <x:c r="E296" s="2"/>
      <x:c r="F296" s="2"/>
      <x:c r="G296" s="2"/>
      <x:c r="H296" s="2"/>
      <x:c r="I296" s="2"/>
    </x:row>
    <x:row r="297">
      <x:c r="A297" s="2"/>
      <x:c r="B297" s="2"/>
      <x:c r="C297" s="2"/>
      <x:c r="D297" s="2"/>
      <x:c r="E297" s="2"/>
      <x:c r="F297" s="2"/>
      <x:c r="G297" s="2"/>
      <x:c r="H297" s="2"/>
      <x:c r="I297" s="2"/>
    </x:row>
    <x:row r="298">
      <x:c r="A298" s="2"/>
      <x:c r="B298" s="2"/>
      <x:c r="C298" s="2"/>
      <x:c r="D298" s="2"/>
      <x:c r="E298" s="2"/>
      <x:c r="F298" s="2"/>
      <x:c r="G298" s="2"/>
      <x:c r="H298" s="2"/>
      <x:c r="I298" s="2"/>
    </x:row>
    <x:row r="299">
      <x:c r="A299" s="2"/>
      <x:c r="B299" s="2"/>
      <x:c r="C299" s="2"/>
      <x:c r="D299" s="2"/>
      <x:c r="E299" s="2"/>
      <x:c r="F299" s="2"/>
      <x:c r="G299" s="2"/>
      <x:c r="H299" s="2"/>
      <x:c r="I299" s="2"/>
    </x:row>
    <x:row r="300">
      <x:c r="A300" s="2"/>
      <x:c r="B300" s="2"/>
      <x:c r="C300" s="2"/>
      <x:c r="D300" s="2"/>
      <x:c r="E300" s="2"/>
      <x:c r="F300" s="2"/>
      <x:c r="G300" s="2"/>
      <x:c r="H300" s="2"/>
      <x:c r="I300" s="2"/>
    </x:row>
  </x:sheetData>
  <x:mergeCells>
    <x:mergeCell ref="A1:I1"/>
    <x:mergeCell ref="A2:I2"/>
  </x:mergeCells>
  <x:pageMargins left="0.7" right="0.7" top="0.75" bottom="0.75" header="0.3" footer="0.3"/>
</x:worksheet>
</file>

<file path=xl/worksheets/sheet2.xml><?xml version="1.0" encoding="utf-8"?>
<x:worksheet xmlns:x="http://schemas.openxmlformats.org/spreadsheetml/2006/main">
  <x:sheetFormatPr defaultRowHeight="15"/>
  <x:cols>
    <x:col min="1" max="1" width="16.670000076293945" hidden="0" customWidth="1"/>
    <x:col min="2" max="2" width="25.559999465942383" hidden="0" customWidth="1"/>
    <x:col min="3" max="3" width="10" hidden="0" customWidth="1"/>
    <x:col min="4" max="4" width="15.5600004196167" hidden="0" customWidth="1"/>
    <x:col min="5" max="5" width="10" hidden="0" customWidth="1"/>
    <x:col min="6" max="6" width="15.5600004196167" hidden="0" customWidth="1"/>
    <x:col min="7" max="7" width="11.670000076293945"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Calculator</x:v>
      </x:c>
      <x:c r="B1" s="4" t="str">
        <x:v>Calculator</x:v>
      </x:c>
      <x:c r="C1" s="4" t="str">
        <x:v>Calculator</x:v>
      </x:c>
      <x:c r="D1" s="4" t="str">
        <x:v>Calculator</x:v>
      </x:c>
      <x:c r="E1" s="4" t="str">
        <x:v>Calculator</x:v>
      </x:c>
      <x:c r="F1" s="4" t="str">
        <x:v>Calculator</x:v>
      </x:c>
      <x:c r="G1" s="4" t="str">
        <x:v>Calculator</x:v>
      </x:c>
      <x:c r="H1" s="4" t="str">
        <x:v>Calculator</x:v>
      </x:c>
      <x:c r="I1" s="4" t="str">
        <x:v>Calculator</x:v>
      </x:c>
      <x:c r="J1" s="4" t="str">
        <x:v>Calculator</x:v>
      </x:c>
      <x:c r="K1" s="4" t="str">
        <x:v>Calculator</x:v>
      </x:c>
      <x:c r="L1" s="4" t="str">
        <x:v>Calculator</x:v>
      </x:c>
      <x:c r="M1" s="4" t="str">
        <x:v>Calculator</x:v>
      </x:c>
    </x:row>
    <x:row r="2">
      <x:c r="A2" s="6" t="str">
        <x:v>Edit yellow cells. Active MTS per scrape = Enabled x Count A x Count B x MTS per A x B. Datapoints scale with collection interval.</x:v>
      </x:c>
      <x:c r="B2" s="6" t="str">
        <x:v>Edit yellow cells. Active MTS per scrape = Enabled x Count A x Count B x MTS per A x B. Datapoints scale with collection interval.</x:v>
      </x:c>
      <x:c r="C2" s="6" t="str">
        <x:v>Edit yellow cells. Active MTS per scrape = Enabled x Count A x Count B x MTS per A x B. Datapoints scale with collection interval.</x:v>
      </x:c>
      <x:c r="D2" s="6" t="str">
        <x:v>Edit yellow cells. Active MTS per scrape = Enabled x Count A x Count B x MTS per A x B. Datapoints scale with collection interval.</x:v>
      </x:c>
      <x:c r="E2" s="6" t="str">
        <x:v>Edit yellow cells. Active MTS per scrape = Enabled x Count A x Count B x MTS per A x B. Datapoints scale with collection interval.</x:v>
      </x:c>
      <x:c r="F2" s="6" t="str">
        <x:v>Edit yellow cells. Active MTS per scrape = Enabled x Count A x Count B x MTS per A x B. Datapoints scale with collection interval.</x:v>
      </x:c>
      <x:c r="G2" s="6" t="str">
        <x:v>Edit yellow cells. Active MTS per scrape = Enabled x Count A x Count B x MTS per A x B. Datapoints scale with collection interval.</x:v>
      </x:c>
      <x:c r="H2" s="6" t="str">
        <x:v>Edit yellow cells. Active MTS per scrape = Enabled x Count A x Count B x MTS per A x B. Datapoints scale with collection interval.</x:v>
      </x:c>
      <x:c r="I2" s="6" t="str">
        <x:v>Edit yellow cells. Active MTS per scrape = Enabled x Count A x Count B x MTS per A x B. Datapoints scale with collection interval.</x:v>
      </x:c>
      <x:c r="J2" s="6" t="str">
        <x:v>Edit yellow cells. Active MTS per scrape = Enabled x Count A x Count B x MTS per A x B. Datapoints scale with collection interval.</x:v>
      </x:c>
      <x:c r="K2" s="6" t="str">
        <x:v>Edit yellow cells. Active MTS per scrape = Enabled x Count A x Count B x MTS per A x B. Datapoints scale with collection interval.</x:v>
      </x:c>
      <x:c r="L2" s="6" t="str">
        <x:v>Edit yellow cells. Active MTS per scrape = Enabled x Count A x Count B x MTS per A x B. Datapoints scale with collection interval.</x:v>
      </x:c>
      <x:c r="M2" s="6" t="str">
        <x:v>Edit yellow cells. Active MTS per scrape = Enabled x Count A x Count B x MTS per A x B. Datapoints scale with collection interval.</x:v>
      </x:c>
    </x:row>
    <x:row r="3">
      <x:c r="A3" s="2"/>
      <x:c r="B3" s="2"/>
      <x:c r="C3" s="2"/>
      <x:c r="D3" s="2"/>
      <x:c r="E3" s="2"/>
      <x:c r="F3" s="2"/>
      <x:c r="G3" s="2"/>
      <x:c r="H3" s="2"/>
      <x:c r="I3" s="2"/>
      <x:c r="J3" s="2"/>
      <x:c r="K3" s="2"/>
      <x:c r="L3" s="2"/>
      <x:c r="M3" s="2"/>
    </x:row>
    <x:row r="4">
      <x:c r="A4" s="2"/>
      <x:c r="B4" s="2"/>
      <x:c r="C4" s="2"/>
      <x:c r="D4" s="2"/>
      <x:c r="E4" s="2"/>
      <x:c r="F4" s="2"/>
      <x:c r="G4" s="2"/>
      <x:c r="H4" s="2"/>
      <x:c r="I4" s="2"/>
      <x:c r="J4" s="2"/>
      <x:c r="K4" s="2"/>
      <x:c r="L4" s="2"/>
      <x:c r="M4" s="2"/>
    </x:row>
    <x:row r="5">
      <x:c r="A5" s="9" t="str">
        <x:v>Area</x:v>
      </x:c>
      <x:c r="B5" s="9" t="str">
        <x:v>Feature / metric group</x:v>
      </x:c>
      <x:c r="C5" s="9" t="str">
        <x:v>Enabled</x:v>
      </x:c>
      <x:c r="D5" s="9" t="str">
        <x:v>Count A label</x:v>
      </x:c>
      <x:c r="E5" s="9" t="str">
        <x:v>Count A</x:v>
      </x:c>
      <x:c r="F5" s="9" t="str">
        <x:v>Count B label</x:v>
      </x:c>
      <x:c r="G5" s="9" t="str">
        <x:v>Count B</x:v>
      </x:c>
      <x:c r="H5" s="9" t="str">
        <x:v>MTS per A x B</x:v>
      </x:c>
      <x:c r="I5" s="9" t="str">
        <x:v>Volume-driver note</x:v>
      </x:c>
      <x:c r="J5" s="9" t="str">
        <x:v>Active MTS / scrape</x:v>
      </x:c>
      <x:c r="K5" s="9" t="str">
        <x:v>DP / minute</x:v>
      </x:c>
      <x:c r="L5" s="9" t="str">
        <x:v>DP / day</x:v>
      </x:c>
      <x:c r="M5" s="9" t="str">
        <x:v>DP / month</x:v>
      </x:c>
    </x:row>
    <x:row r="6">
      <x:c r="A6" s="2" t="str">
        <x:v>SSH</x:v>
      </x:c>
      <x:c r="B6" s="2" t="str">
        <x:v>Core device health</x:v>
      </x:c>
      <x:c r="C6" s="11" t="n">
        <x:v>1</x:v>
      </x:c>
      <x:c r="D6" s="12" t="str">
        <x:v>SSH devices</x:v>
      </x:c>
      <x:c r="E6" s="11" t="n">
        <x:v>10</x:v>
      </x:c>
      <x:c r="F6" s="12" t="str">
        <x:v>per device</x:v>
      </x:c>
      <x:c r="G6" s="11" t="n">
        <x:v>1</x:v>
      </x:c>
      <x:c r="H6" s="11" t="n">
        <x:v>4</x:v>
      </x:c>
      <x:c r="I6" s="2" t="str">
        <x:v>Device up, uptime, CPU utilization, memory utilization.</x:v>
      </x:c>
      <x:c r="J6" s="12" t="n">
        <x:f>IF($C6=1,$E6*MAX(1,$G6)*$H6,0)</x:f>
        <x:v>40</x:v>
      </x:c>
      <x:c r="K6" s="12" t="n">
        <x:f>$J6*(60/'Start Here'!$B$6)</x:f>
        <x:v>40</x:v>
      </x:c>
      <x:c r="L6" s="12" t="n">
        <x:f>$K6*60*24</x:f>
        <x:v>57600</x:v>
      </x:c>
      <x:c r="M6" s="12" t="n">
        <x:f>$L6*'Start Here'!$B$7</x:f>
        <x:v>1753200</x:v>
      </x:c>
    </x:row>
    <x:row r="7">
      <x:c r="A7" s="2" t="str">
        <x:v>SSH</x:v>
      </x:c>
      <x:c r="B7" s="2" t="str">
        <x:v>Scrape command health</x:v>
      </x:c>
      <x:c r="C7" s="11" t="n">
        <x:v>1</x:v>
      </x:c>
      <x:c r="D7" s="12" t="str">
        <x:v>SSH devices</x:v>
      </x:c>
      <x:c r="E7" s="11" t="n">
        <x:v>10</x:v>
      </x:c>
      <x:c r="F7" s="12" t="str">
        <x:v>command families</x:v>
      </x:c>
      <x:c r="G7" s="11" t="n">
        <x:v>6</x:v>
      </x:c>
      <x:c r="H7" s="11" t="n">
        <x:v>3</x:v>
      </x:c>
      <x:c r="I7" s="2" t="str">
        <x:v>Duration, command errors, and outcome/error dimensions. Increase command families when optional groups are enabled.</x:v>
      </x:c>
      <x:c r="J7" s="12" t="n">
        <x:f>IF($C7=1,$E7*MAX(1,$G7)*$H7,0)</x:f>
        <x:v>180</x:v>
      </x:c>
      <x:c r="K7" s="12" t="n">
        <x:f>$J7*(60/'Start Here'!$B$6)</x:f>
        <x:v>180</x:v>
      </x:c>
      <x:c r="L7" s="12" t="n">
        <x:f>$K7*60*24</x:f>
        <x:v>259200</x:v>
      </x:c>
      <x:c r="M7" s="12" t="n">
        <x:f>$L7*'Start Here'!$B$7</x:f>
        <x:v>7889400</x:v>
      </x:c>
    </x:row>
    <x:row r="8">
      <x:c r="A8" s="2" t="str">
        <x:v>SSH</x:v>
      </x:c>
      <x:c r="B8" s="2" t="str">
        <x:v>Scrape state health</x:v>
      </x:c>
      <x:c r="C8" s="11" t="n">
        <x:v>1</x:v>
      </x:c>
      <x:c r="D8" s="12" t="str">
        <x:v>SSH devices</x:v>
      </x:c>
      <x:c r="E8" s="11" t="n">
        <x:v>10</x:v>
      </x:c>
      <x:c r="F8" s="12" t="str">
        <x:v>per device</x:v>
      </x:c>
      <x:c r="G8" s="11" t="n">
        <x:v>1</x:v>
      </x:c>
      <x:c r="H8" s="11" t="n">
        <x:v>2</x:v>
      </x:c>
      <x:c r="I8" s="2" t="str">
        <x:v>Partial success and reconnect counters.</x:v>
      </x:c>
      <x:c r="J8" s="12" t="n">
        <x:f>IF($C8=1,$E8*MAX(1,$G8)*$H8,0)</x:f>
        <x:v>20</x:v>
      </x:c>
      <x:c r="K8" s="12" t="n">
        <x:f>$J8*(60/'Start Here'!$B$6)</x:f>
        <x:v>20</x:v>
      </x:c>
      <x:c r="L8" s="12" t="n">
        <x:f>$K8*60*24</x:f>
        <x:v>28800</x:v>
      </x:c>
      <x:c r="M8" s="12" t="n">
        <x:f>$L8*'Start Here'!$B$7</x:f>
        <x:v>876600</x:v>
      </x:c>
    </x:row>
    <x:row r="9">
      <x:c r="A9" s="2" t="str">
        <x:v>SSH</x:v>
      </x:c>
      <x:c r="B9" s="2" t="str">
        <x:v>Core interface telemetry</x:v>
      </x:c>
      <x:c r="C9" s="11" t="n">
        <x:v>1</x:v>
      </x:c>
      <x:c r="D9" s="12" t="str">
        <x:v>SSH devices</x:v>
      </x:c>
      <x:c r="E9" s="11" t="n">
        <x:v>10</x:v>
      </x:c>
      <x:c r="F9" s="12" t="str">
        <x:v>interfaces / device</x:v>
      </x:c>
      <x:c r="G9" s="11" t="n">
        <x:v>48</x:v>
      </x:c>
      <x:c r="H9" s="11" t="n">
        <x:v>17</x:v>
      </x:c>
      <x:c r="I9" s="2" t="str">
        <x:v>Status, admin status, speed, utilization, bytes, packets, errors, and drops. Packet count expands by direction and packet type.</x:v>
      </x:c>
      <x:c r="J9" s="12" t="n">
        <x:f>IF($C9=1,$E9*MAX(1,$G9)*$H9,0)</x:f>
        <x:v>8160</x:v>
      </x:c>
      <x:c r="K9" s="12" t="n">
        <x:f>$J9*(60/'Start Here'!$B$6)</x:f>
        <x:v>8160</x:v>
      </x:c>
      <x:c r="L9" s="12" t="n">
        <x:f>$K9*60*24</x:f>
        <x:v>11750400</x:v>
      </x:c>
      <x:c r="M9" s="12" t="n">
        <x:f>$L9*'Start Here'!$B$7</x:f>
        <x:v>357652800</x:v>
      </x:c>
    </x:row>
    <x:row r="10">
      <x:c r="A10" s="2" t="str">
        <x:v>SSH</x:v>
      </x:c>
      <x:c r="B10" s="2" t="str">
        <x:v>Optional interface rates</x:v>
      </x:c>
      <x:c r="C10" s="11" t="n">
        <x:v>0</x:v>
      </x:c>
      <x:c r="D10" s="12" t="str">
        <x:v>SSH devices</x:v>
      </x:c>
      <x:c r="E10" s="11" t="n">
        <x:v>10</x:v>
      </x:c>
      <x:c r="F10" s="12" t="str">
        <x:v>interfaces / device</x:v>
      </x:c>
      <x:c r="G10" s="11" t="n">
        <x:v>48</x:v>
      </x:c>
      <x:c r="H10" s="11" t="n">
        <x:v>4</x:v>
      </x:c>
      <x:c r="I10" s="2" t="str">
        <x:v>Two directions each for bit rate and packet rate.</x:v>
      </x:c>
      <x:c r="J10" s="12" t="n">
        <x:f>IF($C10=1,$E10*MAX(1,$G10)*$H10,0)</x:f>
        <x:v>0</x:v>
      </x:c>
      <x:c r="K10" s="12" t="n">
        <x:f>$J10*(60/'Start Here'!$B$6)</x:f>
        <x:v>0</x:v>
      </x:c>
      <x:c r="L10" s="12" t="n">
        <x:f>$K10*60*24</x:f>
        <x:v>0</x:v>
      </x:c>
      <x:c r="M10" s="12" t="n">
        <x:f>$L10*'Start Here'!$B$7</x:f>
        <x:v>0</x:v>
      </x:c>
    </x:row>
    <x:row r="11">
      <x:c r="A11" s="2" t="str">
        <x:v>SSH</x:v>
      </x:c>
      <x:c r="B11" s="2" t="str">
        <x:v>Detailed interface counters</x:v>
      </x:c>
      <x:c r="C11" s="11" t="n">
        <x:v>0</x:v>
      </x:c>
      <x:c r="D11" s="12" t="str">
        <x:v>SSH devices</x:v>
      </x:c>
      <x:c r="E11" s="11" t="n">
        <x:v>10</x:v>
      </x:c>
      <x:c r="F11" s="12" t="str">
        <x:v>interfaces / device</x:v>
      </x:c>
      <x:c r="G11" s="11" t="n">
        <x:v>48</x:v>
      </x:c>
      <x:c r="H11" s="11" t="n">
        <x:v>50</x:v>
      </x:c>
      <x:c r="I11" s="2" t="str">
        <x:v>One MTS for each retained counter name on each interface. Use include/exclude and max_per_interface to bound this.</x:v>
      </x:c>
      <x:c r="J11" s="12" t="n">
        <x:f>IF($C11=1,$E11*MAX(1,$G11)*$H11,0)</x:f>
        <x:v>0</x:v>
      </x:c>
      <x:c r="K11" s="12" t="n">
        <x:f>$J11*(60/'Start Here'!$B$6)</x:f>
        <x:v>0</x:v>
      </x:c>
      <x:c r="L11" s="12" t="n">
        <x:f>$K11*60*24</x:f>
        <x:v>0</x:v>
      </x:c>
      <x:c r="M11" s="12" t="n">
        <x:f>$L11*'Start Here'!$B$7</x:f>
        <x:v>0</x:v>
      </x:c>
    </x:row>
    <x:row r="12">
      <x:c r="A12" s="2" t="str">
        <x:v>SSH</x:v>
      </x:c>
      <x:c r="B12" s="2" t="str">
        <x:v>Structured pause frames</x:v>
      </x:c>
      <x:c r="C12" s="11" t="n">
        <x:v>0</x:v>
      </x:c>
      <x:c r="D12" s="12" t="str">
        <x:v>SSH devices</x:v>
      </x:c>
      <x:c r="E12" s="11" t="n">
        <x:v>10</x:v>
      </x:c>
      <x:c r="F12" s="12" t="str">
        <x:v>interfaces / device</x:v>
      </x:c>
      <x:c r="G12" s="11" t="n">
        <x:v>48</x:v>
      </x:c>
      <x:c r="H12" s="11" t="n">
        <x:v>4</x:v>
      </x:c>
      <x:c r="I12" s="2" t="str">
        <x:v>Direction, pause type, and priority/class combinations.</x:v>
      </x:c>
      <x:c r="J12" s="12" t="n">
        <x:f>IF($C12=1,$E12*MAX(1,$G12)*$H12,0)</x:f>
        <x:v>0</x:v>
      </x:c>
      <x:c r="K12" s="12" t="n">
        <x:f>$J12*(60/'Start Here'!$B$6)</x:f>
        <x:v>0</x:v>
      </x:c>
      <x:c r="L12" s="12" t="n">
        <x:f>$K12*60*24</x:f>
        <x:v>0</x:v>
      </x:c>
      <x:c r="M12" s="12" t="n">
        <x:f>$L12*'Start Here'!$B$7</x:f>
        <x:v>0</x:v>
      </x:c>
    </x:row>
    <x:row r="13">
      <x:c r="A13" s="2" t="str">
        <x:v>SSH</x:v>
      </x:c>
      <x:c r="B13" s="2" t="str">
        <x:v>Structured QoS queues</x:v>
      </x:c>
      <x:c r="C13" s="11" t="n">
        <x:v>0</x:v>
      </x:c>
      <x:c r="D13" s="12" t="str">
        <x:v>SSH devices</x:v>
      </x:c>
      <x:c r="E13" s="11" t="n">
        <x:v>10</x:v>
      </x:c>
      <x:c r="F13" s="12" t="str">
        <x:v>interfaces / device</x:v>
      </x:c>
      <x:c r="G13" s="11" t="n">
        <x:v>48</x:v>
      </x:c>
      <x:c r="H13" s="11" t="n">
        <x:v>16</x:v>
      </x:c>
      <x:c r="I13" s="2" t="str">
        <x:v>Packets and bytes by direction, queue/group, action, drop reason, and source.</x:v>
      </x:c>
      <x:c r="J13" s="12" t="n">
        <x:f>IF($C13=1,$E13*MAX(1,$G13)*$H13,0)</x:f>
        <x:v>0</x:v>
      </x:c>
      <x:c r="K13" s="12" t="n">
        <x:f>$J13*(60/'Start Here'!$B$6)</x:f>
        <x:v>0</x:v>
      </x:c>
      <x:c r="L13" s="12" t="n">
        <x:f>$K13*60*24</x:f>
        <x:v>0</x:v>
      </x:c>
      <x:c r="M13" s="12" t="n">
        <x:f>$L13*'Start Here'!$B$7</x:f>
        <x:v>0</x:v>
      </x:c>
    </x:row>
    <x:row r="14">
      <x:c r="A14" s="2" t="str">
        <x:v>SSH</x:v>
      </x:c>
      <x:c r="B14" s="2" t="str">
        <x:v>Structured QoS policies</x:v>
      </x:c>
      <x:c r="C14" s="11" t="n">
        <x:v>0</x:v>
      </x:c>
      <x:c r="D14" s="12" t="str">
        <x:v>SSH devices</x:v>
      </x:c>
      <x:c r="E14" s="11" t="n">
        <x:v>10</x:v>
      </x:c>
      <x:c r="F14" s="12" t="str">
        <x:v>interfaces / device</x:v>
      </x:c>
      <x:c r="G14" s="11" t="n">
        <x:v>48</x:v>
      </x:c>
      <x:c r="H14" s="11" t="n">
        <x:v>12</x:v>
      </x:c>
      <x:c r="I14" s="2" t="str">
        <x:v>Packets and bytes by policy class, action, drop reason, direction, and source.</x:v>
      </x:c>
      <x:c r="J14" s="12" t="n">
        <x:f>IF($C14=1,$E14*MAX(1,$G14)*$H14,0)</x:f>
        <x:v>0</x:v>
      </x:c>
      <x:c r="K14" s="12" t="n">
        <x:f>$J14*(60/'Start Here'!$B$6)</x:f>
        <x:v>0</x:v>
      </x:c>
      <x:c r="L14" s="12" t="n">
        <x:f>$K14*60*24</x:f>
        <x:v>0</x:v>
      </x:c>
      <x:c r="M14" s="12" t="n">
        <x:f>$L14*'Start Here'!$B$7</x:f>
        <x:v>0</x:v>
      </x:c>
    </x:row>
    <x:row r="15">
      <x:c r="A15" s="2" t="str">
        <x:v>SSH</x:v>
      </x:c>
      <x:c r="B15" s="2" t="str">
        <x:v>L2 topology interface state</x:v>
      </x:c>
      <x:c r="C15" s="11" t="n">
        <x:v>0</x:v>
      </x:c>
      <x:c r="D15" s="12" t="str">
        <x:v>SSH devices</x:v>
      </x:c>
      <x:c r="E15" s="11" t="n">
        <x:v>10</x:v>
      </x:c>
      <x:c r="F15" s="12" t="str">
        <x:v>interfaces / device</x:v>
      </x:c>
      <x:c r="G15" s="11" t="n">
        <x:v>48</x:v>
      </x:c>
      <x:c r="H15" s="11" t="n">
        <x:v>5</x:v>
      </x:c>
      <x:c r="I15" s="2" t="str">
        <x:v>Err-disabled, port-channel, vPC, and neighbor info. Adjust for topology depth.</x:v>
      </x:c>
      <x:c r="J15" s="12" t="n">
        <x:f>IF($C15=1,$E15*MAX(1,$G15)*$H15,0)</x:f>
        <x:v>0</x:v>
      </x:c>
      <x:c r="K15" s="12" t="n">
        <x:f>$J15*(60/'Start Here'!$B$6)</x:f>
        <x:v>0</x:v>
      </x:c>
      <x:c r="L15" s="12" t="n">
        <x:f>$K15*60*24</x:f>
        <x:v>0</x:v>
      </x:c>
      <x:c r="M15" s="12" t="n">
        <x:f>$L15*'Start Here'!$B$7</x:f>
        <x:v>0</x:v>
      </x:c>
    </x:row>
    <x:row r="16">
      <x:c r="A16" s="2" t="str">
        <x:v>SSH</x:v>
      </x:c>
      <x:c r="B16" s="2" t="str">
        <x:v>L2 STP and VLAN metrics</x:v>
      </x:c>
      <x:c r="C16" s="11" t="n">
        <x:v>0</x:v>
      </x:c>
      <x:c r="D16" s="12" t="str">
        <x:v>SSH devices</x:v>
      </x:c>
      <x:c r="E16" s="11" t="n">
        <x:v>10</x:v>
      </x:c>
      <x:c r="F16" s="12" t="str">
        <x:v>VLAN/interface combos</x:v>
      </x:c>
      <x:c r="G16" s="11" t="n">
        <x:v>128</x:v>
      </x:c>
      <x:c r="H16" s="11" t="n">
        <x:v>3</x:v>
      </x:c>
      <x:c r="I16" s="2" t="str">
        <x:v>STP instances, blocked ports, and topology changes. Dense VLAN fabrics can raise this quickly.</x:v>
      </x:c>
      <x:c r="J16" s="12" t="n">
        <x:f>IF($C16=1,$E16*MAX(1,$G16)*$H16,0)</x:f>
        <x:v>0</x:v>
      </x:c>
      <x:c r="K16" s="12" t="n">
        <x:f>$J16*(60/'Start Here'!$B$6)</x:f>
        <x:v>0</x:v>
      </x:c>
      <x:c r="L16" s="12" t="n">
        <x:f>$K16*60*24</x:f>
        <x:v>0</x:v>
      </x:c>
      <x:c r="M16" s="12" t="n">
        <x:f>$L16*'Start Here'!$B$7</x:f>
        <x:v>0</x:v>
      </x:c>
    </x:row>
    <x:row r="17">
      <x:c r="A17" s="2" t="str">
        <x:v>SSH</x:v>
      </x:c>
      <x:c r="B17" s="2" t="str">
        <x:v>LACP metrics</x:v>
      </x:c>
      <x:c r="C17" s="11" t="n">
        <x:v>0</x:v>
      </x:c>
      <x:c r="D17" s="12" t="str">
        <x:v>SSH devices</x:v>
      </x:c>
      <x:c r="E17" s="11" t="n">
        <x:v>10</x:v>
      </x:c>
      <x:c r="F17" s="12" t="str">
        <x:v>LACP member interfaces</x:v>
      </x:c>
      <x:c r="G17" s="11" t="n">
        <x:v>8</x:v>
      </x:c>
      <x:c r="H17" s="11" t="n">
        <x:v>5</x:v>
      </x:c>
      <x:c r="I17" s="2" t="str">
        <x:v>Packets and errors by type and direction.</x:v>
      </x:c>
      <x:c r="J17" s="12" t="n">
        <x:f>IF($C17=1,$E17*MAX(1,$G17)*$H17,0)</x:f>
        <x:v>0</x:v>
      </x:c>
      <x:c r="K17" s="12" t="n">
        <x:f>$J17*(60/'Start Here'!$B$6)</x:f>
        <x:v>0</x:v>
      </x:c>
      <x:c r="L17" s="12" t="n">
        <x:f>$K17*60*24</x:f>
        <x:v>0</x:v>
      </x:c>
      <x:c r="M17" s="12" t="n">
        <x:f>$L17*'Start Here'!$B$7</x:f>
        <x:v>0</x:v>
      </x:c>
    </x:row>
    <x:row r="18">
      <x:c r="A18" s="2" t="str">
        <x:v>SSH</x:v>
      </x:c>
      <x:c r="B18" s="2" t="str">
        <x:v>Transceiver sensors</x:v>
      </x:c>
      <x:c r="C18" s="11" t="n">
        <x:v>0</x:v>
      </x:c>
      <x:c r="D18" s="12" t="str">
        <x:v>SSH devices</x:v>
      </x:c>
      <x:c r="E18" s="11" t="n">
        <x:v>10</x:v>
      </x:c>
      <x:c r="F18" s="12" t="str">
        <x:v>optic interfaces / device</x:v>
      </x:c>
      <x:c r="G18" s="11" t="n">
        <x:v>32</x:v>
      </x:c>
      <x:c r="H18" s="11" t="n">
        <x:v>5</x:v>
      </x:c>
      <x:c r="I18" s="2" t="str">
        <x:v>Sensor/lane/unit combinations per optic.</x:v>
      </x:c>
      <x:c r="J18" s="12" t="n">
        <x:f>IF($C18=1,$E18*MAX(1,$G18)*$H18,0)</x:f>
        <x:v>0</x:v>
      </x:c>
      <x:c r="K18" s="12" t="n">
        <x:f>$J18*(60/'Start Here'!$B$6)</x:f>
        <x:v>0</x:v>
      </x:c>
      <x:c r="L18" s="12" t="n">
        <x:f>$K18*60*24</x:f>
        <x:v>0</x:v>
      </x:c>
      <x:c r="M18" s="12" t="n">
        <x:f>$L18*'Start Here'!$B$7</x:f>
        <x:v>0</x:v>
      </x:c>
    </x:row>
    <x:row r="19">
      <x:c r="A19" s="2" t="str">
        <x:v>SSH</x:v>
      </x:c>
      <x:c r="B19" s="2" t="str">
        <x:v>Protocol traffic</x:v>
      </x:c>
      <x:c r="C19" s="11" t="n">
        <x:v>0</x:v>
      </x:c>
      <x:c r="D19" s="12" t="str">
        <x:v>SSH devices</x:v>
      </x:c>
      <x:c r="E19" s="11" t="n">
        <x:v>10</x:v>
      </x:c>
      <x:c r="F19" s="12" t="str">
        <x:v>protocol dimensions</x:v>
      </x:c>
      <x:c r="G19" s="11" t="n">
        <x:v>60</x:v>
      </x:c>
      <x:c r="H19" s="11" t="n">
        <x:v>1</x:v>
      </x:c>
      <x:c r="I19" s="2" t="str">
        <x:v>Protocol, message, error, drop reason, and direction combinations from show ip traffic.</x:v>
      </x:c>
      <x:c r="J19" s="12" t="n">
        <x:f>IF($C19=1,$E19*MAX(1,$G19)*$H19,0)</x:f>
        <x:v>0</x:v>
      </x:c>
      <x:c r="K19" s="12" t="n">
        <x:f>$J19*(60/'Start Here'!$B$6)</x:f>
        <x:v>0</x:v>
      </x:c>
      <x:c r="L19" s="12" t="n">
        <x:f>$K19*60*24</x:f>
        <x:v>0</x:v>
      </x:c>
      <x:c r="M19" s="12" t="n">
        <x:f>$L19*'Start Here'!$B$7</x:f>
        <x:v>0</x:v>
      </x:c>
    </x:row>
    <x:row r="20">
      <x:c r="A20" s="2" t="str">
        <x:v>SSH</x:v>
      </x:c>
      <x:c r="B20" s="2" t="str">
        <x:v>Control-plane process CPU</x:v>
      </x:c>
      <x:c r="C20" s="11" t="n">
        <x:v>0</x:v>
      </x:c>
      <x:c r="D20" s="12" t="str">
        <x:v>SSH devices</x:v>
      </x:c>
      <x:c r="E20" s="11" t="n">
        <x:v>10</x:v>
      </x:c>
      <x:c r="F20" s="12" t="str">
        <x:v>process_top_n</x:v>
      </x:c>
      <x:c r="G20" s="11" t="n">
        <x:v>10</x:v>
      </x:c>
      <x:c r="H20" s="11" t="n">
        <x:v>1</x:v>
      </x:c>
      <x:c r="I20" s="2" t="str">
        <x:v>One process CPU MTS per retained process/window.</x:v>
      </x:c>
      <x:c r="J20" s="12" t="n">
        <x:f>IF($C20=1,$E20*MAX(1,$G20)*$H20,0)</x:f>
        <x:v>0</x:v>
      </x:c>
      <x:c r="K20" s="12" t="n">
        <x:f>$J20*(60/'Start Here'!$B$6)</x:f>
        <x:v>0</x:v>
      </x:c>
      <x:c r="L20" s="12" t="n">
        <x:f>$K20*60*24</x:f>
        <x:v>0</x:v>
      </x:c>
      <x:c r="M20" s="12" t="n">
        <x:f>$L20*'Start Here'!$B$7</x:f>
        <x:v>0</x:v>
      </x:c>
    </x:row>
    <x:row r="21">
      <x:c r="A21" s="2" t="str">
        <x:v>SSH</x:v>
      </x:c>
      <x:c r="B21" s="2" t="str">
        <x:v>Control-plane CoPP and punt</x:v>
      </x:c>
      <x:c r="C21" s="11" t="n">
        <x:v>0</x:v>
      </x:c>
      <x:c r="D21" s="12" t="str">
        <x:v>SSH devices</x:v>
      </x:c>
      <x:c r="E21" s="11" t="n">
        <x:v>10</x:v>
      </x:c>
      <x:c r="F21" s="12" t="str">
        <x:v>class/queue combos</x:v>
      </x:c>
      <x:c r="G21" s="11" t="n">
        <x:v>32</x:v>
      </x:c>
      <x:c r="H21" s="11" t="n">
        <x:v>1</x:v>
      </x:c>
      <x:c r="I21" s="2" t="str">
        <x:v>Packets, drops, and punt rates by class/queue/source/direction.</x:v>
      </x:c>
      <x:c r="J21" s="12" t="n">
        <x:f>IF($C21=1,$E21*MAX(1,$G21)*$H21,0)</x:f>
        <x:v>0</x:v>
      </x:c>
      <x:c r="K21" s="12" t="n">
        <x:f>$J21*(60/'Start Here'!$B$6)</x:f>
        <x:v>0</x:v>
      </x:c>
      <x:c r="L21" s="12" t="n">
        <x:f>$K21*60*24</x:f>
        <x:v>0</x:v>
      </x:c>
      <x:c r="M21" s="12" t="n">
        <x:f>$L21*'Start Here'!$B$7</x:f>
        <x:v>0</x:v>
      </x:c>
    </x:row>
    <x:row r="22">
      <x:c r="A22" s="2" t="str">
        <x:v>SSH</x:v>
      </x:c>
      <x:c r="B22" s="2" t="str">
        <x:v>Routing and forwarding summaries</x:v>
      </x:c>
      <x:c r="C22" s="11" t="n">
        <x:v>0</x:v>
      </x:c>
      <x:c r="D22" s="12" t="str">
        <x:v>SSH devices</x:v>
      </x:c>
      <x:c r="E22" s="11" t="n">
        <x:v>10</x:v>
      </x:c>
      <x:c r="F22" s="12" t="str">
        <x:v>VRFs / device</x:v>
      </x:c>
      <x:c r="G22" s="11" t="n">
        <x:v>1</x:v>
      </x:c>
      <x:c r="H22" s="11" t="n">
        <x:v>32</x:v>
      </x:c>
      <x:c r="I22" s="2" t="str">
        <x:v>Routes, ARP, FIB, adjacency, and forwarding-drop dimensions. Increase VRFs for VRF-aware collection.</x:v>
      </x:c>
      <x:c r="J22" s="12" t="n">
        <x:f>IF($C22=1,$E22*MAX(1,$G22)*$H22,0)</x:f>
        <x:v>0</x:v>
      </x:c>
      <x:c r="K22" s="12" t="n">
        <x:f>$J22*(60/'Start Here'!$B$6)</x:f>
        <x:v>0</x:v>
      </x:c>
      <x:c r="L22" s="12" t="n">
        <x:f>$K22*60*24</x:f>
        <x:v>0</x:v>
      </x:c>
      <x:c r="M22" s="12" t="n">
        <x:f>$L22*'Start Here'!$B$7</x:f>
        <x:v>0</x:v>
      </x:c>
    </x:row>
    <x:row r="23">
      <x:c r="A23" s="2" t="str">
        <x:v>SSH</x:v>
      </x:c>
      <x:c r="B23" s="2" t="str">
        <x:v>Routing neighbors</x:v>
      </x:c>
      <x:c r="C23" s="11" t="n">
        <x:v>0</x:v>
      </x:c>
      <x:c r="D23" s="12" t="str">
        <x:v>SSH devices</x:v>
      </x:c>
      <x:c r="E23" s="11" t="n">
        <x:v>10</x:v>
      </x:c>
      <x:c r="F23" s="12" t="str">
        <x:v>neighbors / device</x:v>
      </x:c>
      <x:c r="G23" s="11" t="n">
        <x:v>20</x:v>
      </x:c>
      <x:c r="H23" s="11" t="n">
        <x:v>2</x:v>
      </x:c>
      <x:c r="I23" s="2" t="str">
        <x:v>Neighbor state and prefix count per protocol/VRF/address family.</x:v>
      </x:c>
      <x:c r="J23" s="12" t="n">
        <x:f>IF($C23=1,$E23*MAX(1,$G23)*$H23,0)</x:f>
        <x:v>0</x:v>
      </x:c>
      <x:c r="K23" s="12" t="n">
        <x:f>$J23*(60/'Start Here'!$B$6)</x:f>
        <x:v>0</x:v>
      </x:c>
      <x:c r="L23" s="12" t="n">
        <x:f>$K23*60*24</x:f>
        <x:v>0</x:v>
      </x:c>
      <x:c r="M23" s="12" t="n">
        <x:f>$L23*'Start Here'!$B$7</x:f>
        <x:v>0</x:v>
      </x:c>
    </x:row>
    <x:row r="24">
      <x:c r="A24" s="2" t="str">
        <x:v>SSH</x:v>
      </x:c>
      <x:c r="B24" s="2" t="str">
        <x:v>Hardware health</x:v>
      </x:c>
      <x:c r="C24" s="11" t="n">
        <x:v>0</x:v>
      </x:c>
      <x:c r="D24" s="12" t="str">
        <x:v>SSH devices</x:v>
      </x:c>
      <x:c r="E24" s="11" t="n">
        <x:v>10</x:v>
      </x:c>
      <x:c r="F24" s="12" t="str">
        <x:v>components/sensors</x:v>
      </x:c>
      <x:c r="G24" s="11" t="n">
        <x:v>40</x:v>
      </x:c>
      <x:c r="H24" s="11" t="n">
        <x:v>1</x:v>
      </x:c>
      <x:c r="I24" s="2" t="str">
        <x:v>Status and temperature by component/name/slot/state.</x:v>
      </x:c>
      <x:c r="J24" s="12" t="n">
        <x:f>IF($C24=1,$E24*MAX(1,$G24)*$H24,0)</x:f>
        <x:v>0</x:v>
      </x:c>
      <x:c r="K24" s="12" t="n">
        <x:f>$J24*(60/'Start Here'!$B$6)</x:f>
        <x:v>0</x:v>
      </x:c>
      <x:c r="L24" s="12" t="n">
        <x:f>$K24*60*24</x:f>
        <x:v>0</x:v>
      </x:c>
      <x:c r="M24" s="12" t="n">
        <x:f>$L24*'Start Here'!$B$7</x:f>
        <x:v>0</x:v>
      </x:c>
    </x:row>
    <x:row r="25">
      <x:c r="A25" s="2" t="str">
        <x:v>SSH</x:v>
      </x:c>
      <x:c r="B25" s="2" t="str">
        <x:v>VXLAN/EVPN fabric</x:v>
      </x:c>
      <x:c r="C25" s="11" t="n">
        <x:v>0</x:v>
      </x:c>
      <x:c r="D25" s="12" t="str">
        <x:v>SSH devices</x:v>
      </x:c>
      <x:c r="E25" s="11" t="n">
        <x:v>10</x:v>
      </x:c>
      <x:c r="F25" s="12" t="str">
        <x:v>peer/VNI/route combos</x:v>
      </x:c>
      <x:c r="G25" s="11" t="n">
        <x:v>128</x:v>
      </x:c>
      <x:c r="H25" s="11" t="n">
        <x:v>1</x:v>
      </x:c>
      <x:c r="I25" s="2" t="str">
        <x:v>NVE peer, VNI, and EVPN route dimensions.</x:v>
      </x:c>
      <x:c r="J25" s="12" t="n">
        <x:f>IF($C25=1,$E25*MAX(1,$G25)*$H25,0)</x:f>
        <x:v>0</x:v>
      </x:c>
      <x:c r="K25" s="12" t="n">
        <x:f>$J25*(60/'Start Here'!$B$6)</x:f>
        <x:v>0</x:v>
      </x:c>
      <x:c r="L25" s="12" t="n">
        <x:f>$K25*60*24</x:f>
        <x:v>0</x:v>
      </x:c>
      <x:c r="M25" s="12" t="n">
        <x:f>$L25*'Start Here'!$B$7</x:f>
        <x:v>0</x:v>
      </x:c>
    </x:row>
    <x:row r="26">
      <x:c r="A26" s="2" t="str">
        <x:v>SSH</x:v>
      </x:c>
      <x:c r="B26" s="2" t="str">
        <x:v>IOS XE QFP rates/utilization</x:v>
      </x:c>
      <x:c r="C26" s="11" t="n">
        <x:v>0</x:v>
      </x:c>
      <x:c r="D26" s="12" t="str">
        <x:v>SSH devices</x:v>
      </x:c>
      <x:c r="E26" s="11" t="n">
        <x:v>10</x:v>
      </x:c>
      <x:c r="F26" s="12" t="str">
        <x:v>datapath combos</x:v>
      </x:c>
      <x:c r="G26" s="11" t="n">
        <x:v>12</x:v>
      </x:c>
      <x:c r="H26" s="11" t="n">
        <x:v>1</x:v>
      </x:c>
      <x:c r="I26" s="2" t="str">
        <x:v>Traffic class, direction, load type, and CPU window combinations.</x:v>
      </x:c>
      <x:c r="J26" s="12" t="n">
        <x:f>IF($C26=1,$E26*MAX(1,$G26)*$H26,0)</x:f>
        <x:v>0</x:v>
      </x:c>
      <x:c r="K26" s="12" t="n">
        <x:f>$J26*(60/'Start Here'!$B$6)</x:f>
        <x:v>0</x:v>
      </x:c>
      <x:c r="L26" s="12" t="n">
        <x:f>$K26*60*24</x:f>
        <x:v>0</x:v>
      </x:c>
      <x:c r="M26" s="12" t="n">
        <x:f>$L26*'Start Here'!$B$7</x:f>
        <x:v>0</x:v>
      </x:c>
    </x:row>
    <x:row r="27">
      <x:c r="A27" s="2" t="str">
        <x:v>SSH</x:v>
      </x:c>
      <x:c r="B27" s="2" t="str">
        <x:v>IOS XE QFP drops</x:v>
      </x:c>
      <x:c r="C27" s="11" t="n">
        <x:v>0</x:v>
      </x:c>
      <x:c r="D27" s="12" t="str">
        <x:v>SSH devices</x:v>
      </x:c>
      <x:c r="E27" s="11" t="n">
        <x:v>10</x:v>
      </x:c>
      <x:c r="F27" s="12" t="str">
        <x:v>drop/interface combos</x:v>
      </x:c>
      <x:c r="G27" s="11" t="n">
        <x:v>50</x:v>
      </x:c>
      <x:c r="H27" s="11" t="n">
        <x:v>2</x:v>
      </x:c>
      <x:c r="I27" s="2" t="str">
        <x:v>QFP packet drops, byte drops, and interface drops by source/reason/interface.</x:v>
      </x:c>
      <x:c r="J27" s="12" t="n">
        <x:f>IF($C27=1,$E27*MAX(1,$G27)*$H27,0)</x:f>
        <x:v>0</x:v>
      </x:c>
      <x:c r="K27" s="12" t="n">
        <x:f>$J27*(60/'Start Here'!$B$6)</x:f>
        <x:v>0</x:v>
      </x:c>
      <x:c r="L27" s="12" t="n">
        <x:f>$K27*60*24</x:f>
        <x:v>0</x:v>
      </x:c>
      <x:c r="M27" s="12" t="n">
        <x:f>$L27*'Start Here'!$B$7</x:f>
        <x:v>0</x:v>
      </x:c>
    </x:row>
    <x:row r="28">
      <x:c r="A28" s="2" t="str">
        <x:v>Meraki</x:v>
      </x:c>
      <x:c r="B28" s="2" t="str">
        <x:v>API request health</x:v>
      </x:c>
      <x:c r="C28" s="11" t="n">
        <x:v>0</x:v>
      </x:c>
      <x:c r="D28" s="12" t="str">
        <x:v>organizations</x:v>
      </x:c>
      <x:c r="E28" s="11" t="n">
        <x:v>1</x:v>
      </x:c>
      <x:c r="F28" s="12" t="str">
        <x:v>API operations</x:v>
      </x:c>
      <x:c r="G28" s="11" t="n">
        <x:v>12</x:v>
      </x:c>
      <x:c r="H28" s="11" t="n">
        <x:v>3</x:v>
      </x:c>
      <x:c r="I28" s="2" t="str">
        <x:v>Duration, errors, and rate-limited counts by operation/method/path/outcome.</x:v>
      </x:c>
      <x:c r="J28" s="12" t="n">
        <x:f>IF($C28=1,$E28*MAX(1,$G28)*$H28,0)</x:f>
        <x:v>0</x:v>
      </x:c>
      <x:c r="K28" s="12" t="n">
        <x:f>$J28*(60/'Start Here'!$B$6)</x:f>
        <x:v>0</x:v>
      </x:c>
      <x:c r="L28" s="12" t="n">
        <x:f>$K28*60*24</x:f>
        <x:v>0</x:v>
      </x:c>
      <x:c r="M28" s="12" t="n">
        <x:f>$L28*'Start Here'!$B$7</x:f>
        <x:v>0</x:v>
      </x:c>
    </x:row>
    <x:row r="29">
      <x:c r="A29" s="2" t="str">
        <x:v>Meraki</x:v>
      </x:c>
      <x:c r="B29" s="2" t="str">
        <x:v>Device inventory/status</x:v>
      </x:c>
      <x:c r="C29" s="11" t="n">
        <x:v>0</x:v>
      </x:c>
      <x:c r="D29" s="12" t="str">
        <x:v>Meraki devices</x:v>
      </x:c>
      <x:c r="E29" s="11" t="n">
        <x:v>100</x:v>
      </x:c>
      <x:c r="F29" s="12" t="str">
        <x:v>per device</x:v>
      </x:c>
      <x:c r="G29" s="11" t="n">
        <x:v>1</x:v>
      </x:c>
      <x:c r="H29" s="11" t="n">
        <x:v>3</x:v>
      </x:c>
      <x:c r="I29" s="2" t="str">
        <x:v>Device status plus reused device up and memory utilization when available.</x:v>
      </x:c>
      <x:c r="J29" s="12" t="n">
        <x:f>IF($C29=1,$E29*MAX(1,$G29)*$H29,0)</x:f>
        <x:v>0</x:v>
      </x:c>
      <x:c r="K29" s="12" t="n">
        <x:f>$J29*(60/'Start Here'!$B$6)</x:f>
        <x:v>0</x:v>
      </x:c>
      <x:c r="L29" s="12" t="n">
        <x:f>$K29*60*24</x:f>
        <x:v>0</x:v>
      </x:c>
      <x:c r="M29" s="12" t="n">
        <x:f>$L29*'Start Here'!$B$7</x:f>
        <x:v>0</x:v>
      </x:c>
    </x:row>
    <x:row r="30">
      <x:c r="A30" s="2" t="str">
        <x:v>Meraki</x:v>
      </x:c>
      <x:c r="B30" s="2" t="str">
        <x:v>Uplinks and WAN quality</x:v>
      </x:c>
      <x:c r="C30" s="11" t="n">
        <x:v>0</x:v>
      </x:c>
      <x:c r="D30" s="12" t="str">
        <x:v>Meraki devices</x:v>
      </x:c>
      <x:c r="E30" s="11" t="n">
        <x:v>100</x:v>
      </x:c>
      <x:c r="F30" s="12" t="str">
        <x:v>uplinks / device</x:v>
      </x:c>
      <x:c r="G30" s="11" t="n">
        <x:v>2</x:v>
      </x:c>
      <x:c r="H30" s="11" t="n">
        <x:v>5</x:v>
      </x:c>
      <x:c r="I30" s="2" t="str">
        <x:v>Status, loss, latency, and cellular RSRP/RSRQ where present.</x:v>
      </x:c>
      <x:c r="J30" s="12" t="n">
        <x:f>IF($C30=1,$E30*MAX(1,$G30)*$H30,0)</x:f>
        <x:v>0</x:v>
      </x:c>
      <x:c r="K30" s="12" t="n">
        <x:f>$J30*(60/'Start Here'!$B$6)</x:f>
        <x:v>0</x:v>
      </x:c>
      <x:c r="L30" s="12" t="n">
        <x:f>$K30*60*24</x:f>
        <x:v>0</x:v>
      </x:c>
      <x:c r="M30" s="12" t="n">
        <x:f>$L30*'Start Here'!$B$7</x:f>
        <x:v>0</x:v>
      </x:c>
    </x:row>
    <x:row r="31">
      <x:c r="A31" s="2" t="str">
        <x:v>Meraki</x:v>
      </x:c>
      <x:c r="B31" s="2" t="str">
        <x:v>Switch ports</x:v>
      </x:c>
      <x:c r="C31" s="11" t="n">
        <x:v>0</x:v>
      </x:c>
      <x:c r="D31" s="12" t="str">
        <x:v>Meraki switches</x:v>
      </x:c>
      <x:c r="E31" s="11" t="n">
        <x:v>25</x:v>
      </x:c>
      <x:c r="F31" s="12" t="str">
        <x:v>ports / switch</x:v>
      </x:c>
      <x:c r="G31" s="11" t="n">
        <x:v>48</x:v>
      </x:c>
      <x:c r="H31" s="11" t="n">
        <x:v>8</x:v>
      </x:c>
      <x:c r="I31" s="2" t="str">
        <x:v>Status, admin status, speed, usage/rate/utilization, PoE, and alerts. Adjust for actual enabled fields.</x:v>
      </x:c>
      <x:c r="J31" s="12" t="n">
        <x:f>IF($C31=1,$E31*MAX(1,$G31)*$H31,0)</x:f>
        <x:v>0</x:v>
      </x:c>
      <x:c r="K31" s="12" t="n">
        <x:f>$J31*(60/'Start Here'!$B$6)</x:f>
        <x:v>0</x:v>
      </x:c>
      <x:c r="L31" s="12" t="n">
        <x:f>$K31*60*24</x:f>
        <x:v>0</x:v>
      </x:c>
      <x:c r="M31" s="12" t="n">
        <x:f>$L31*'Start Here'!$B$7</x:f>
        <x:v>0</x:v>
      </x:c>
    </x:row>
    <x:row r="32">
      <x:c r="A32" s="2" t="str">
        <x:v>Meraki</x:v>
      </x:c>
      <x:c r="B32" s="2" t="str">
        <x:v>Wireless AP health</x:v>
      </x:c>
      <x:c r="C32" s="11" t="n">
        <x:v>0</x:v>
      </x:c>
      <x:c r="D32" s="12" t="str">
        <x:v>wireless APs</x:v>
      </x:c>
      <x:c r="E32" s="11" t="n">
        <x:v>50</x:v>
      </x:c>
      <x:c r="F32" s="12" t="str">
        <x:v>radio/status combos</x:v>
      </x:c>
      <x:c r="G32" s="11" t="n">
        <x:v>8</x:v>
      </x:c>
      <x:c r="H32" s="11" t="n">
        <x:v>1</x:v>
      </x:c>
      <x:c r="I32" s="2" t="str">
        <x:v>Client count, channel utilization, packet count/loss/loss percentage.</x:v>
      </x:c>
      <x:c r="J32" s="12" t="n">
        <x:f>IF($C32=1,$E32*MAX(1,$G32)*$H32,0)</x:f>
        <x:v>0</x:v>
      </x:c>
      <x:c r="K32" s="12" t="n">
        <x:f>$J32*(60/'Start Here'!$B$6)</x:f>
        <x:v>0</x:v>
      </x:c>
      <x:c r="L32" s="12" t="n">
        <x:f>$K32*60*24</x:f>
        <x:v>0</x:v>
      </x:c>
      <x:c r="M32" s="12" t="n">
        <x:f>$L32*'Start Here'!$B$7</x:f>
        <x:v>0</x:v>
      </x:c>
    </x:row>
    <x:row r="33">
      <x:c r="A33" s="2" t="str">
        <x:v>Meraki</x:v>
      </x:c>
      <x:c r="B33" s="2" t="str">
        <x:v>Wireless SSID/BSS state</x:v>
      </x:c>
      <x:c r="C33" s="11" t="n">
        <x:v>0</x:v>
      </x:c>
      <x:c r="D33" s="12" t="str">
        <x:v>wireless APs</x:v>
      </x:c>
      <x:c r="E33" s="11" t="n">
        <x:v>50</x:v>
      </x:c>
      <x:c r="F33" s="12" t="str">
        <x:v>BSS / AP</x:v>
      </x:c>
      <x:c r="G33" s="11" t="n">
        <x:v>8</x:v>
      </x:c>
      <x:c r="H33" s="11" t="n">
        <x:v>1</x:v>
      </x:c>
      <x:c r="I33" s="2" t="str">
        <x:v>SSID status by SSID, BSSID, band, and radio.</x:v>
      </x:c>
      <x:c r="J33" s="12" t="n">
        <x:f>IF($C33=1,$E33*MAX(1,$G33)*$H33,0)</x:f>
        <x:v>0</x:v>
      </x:c>
      <x:c r="K33" s="12" t="n">
        <x:f>$J33*(60/'Start Here'!$B$6)</x:f>
        <x:v>0</x:v>
      </x:c>
      <x:c r="L33" s="12" t="n">
        <x:f>$K33*60*24</x:f>
        <x:v>0</x:v>
      </x:c>
      <x:c r="M33" s="12" t="n">
        <x:f>$L33*'Start Here'!$B$7</x:f>
        <x:v>0</x:v>
      </x:c>
    </x:row>
    <x:row r="34">
      <x:c r="A34" s="2" t="str">
        <x:v>Meraki</x:v>
      </x:c>
      <x:c r="B34" s="2" t="str">
        <x:v>VPN peers</x:v>
      </x:c>
      <x:c r="C34" s="11" t="n">
        <x:v>0</x:v>
      </x:c>
      <x:c r="D34" s="12" t="str">
        <x:v>networks</x:v>
      </x:c>
      <x:c r="E34" s="11" t="n">
        <x:v>10</x:v>
      </x:c>
      <x:c r="F34" s="12" t="str">
        <x:v>VPN peers / network</x:v>
      </x:c>
      <x:c r="G34" s="11" t="n">
        <x:v>5</x:v>
      </x:c>
      <x:c r="H34" s="11" t="n">
        <x:v>7</x:v>
      </x:c>
      <x:c r="I34" s="2" t="str">
        <x:v>Status, usage by direction, latency, loss, jitter, and MOS.</x:v>
      </x:c>
      <x:c r="J34" s="12" t="n">
        <x:f>IF($C34=1,$E34*MAX(1,$G34)*$H34,0)</x:f>
        <x:v>0</x:v>
      </x:c>
      <x:c r="K34" s="12" t="n">
        <x:f>$J34*(60/'Start Here'!$B$6)</x:f>
        <x:v>0</x:v>
      </x:c>
      <x:c r="L34" s="12" t="n">
        <x:f>$K34*60*24</x:f>
        <x:v>0</x:v>
      </x:c>
      <x:c r="M34" s="12" t="n">
        <x:f>$L34*'Start Here'!$B$7</x:f>
        <x:v>0</x:v>
      </x:c>
    </x:row>
    <x:row r="35">
      <x:c r="A35" s="2" t="str">
        <x:v>Meraki</x:v>
      </x:c>
      <x:c r="B35" s="2" t="str">
        <x:v>Power modules</x:v>
      </x:c>
      <x:c r="C35" s="11" t="n">
        <x:v>0</x:v>
      </x:c>
      <x:c r="D35" s="12" t="str">
        <x:v>Meraki devices</x:v>
      </x:c>
      <x:c r="E35" s="11" t="n">
        <x:v>25</x:v>
      </x:c>
      <x:c r="F35" s="12" t="str">
        <x:v>modules / device</x:v>
      </x:c>
      <x:c r="G35" s="11" t="n">
        <x:v>2</x:v>
      </x:c>
      <x:c r="H35" s="11" t="n">
        <x:v>1</x:v>
      </x:c>
      <x:c r="I35" s="2" t="str">
        <x:v>Power module status by slot/serial/model/status.</x:v>
      </x:c>
      <x:c r="J35" s="12" t="n">
        <x:f>IF($C35=1,$E35*MAX(1,$G35)*$H35,0)</x:f>
        <x:v>0</x:v>
      </x:c>
      <x:c r="K35" s="12" t="n">
        <x:f>$J35*(60/'Start Here'!$B$6)</x:f>
        <x:v>0</x:v>
      </x:c>
      <x:c r="L35" s="12" t="n">
        <x:f>$K35*60*24</x:f>
        <x:v>0</x:v>
      </x:c>
      <x:c r="M35" s="12" t="n">
        <x:f>$L35*'Start Here'!$B$7</x:f>
        <x:v>0</x:v>
      </x:c>
    </x:row>
    <x:row r="36">
      <x:c r="A36" s="2" t="str">
        <x:v>Meraki</x:v>
      </x:c>
      <x:c r="B36" s="2" t="str">
        <x:v>Topology neighbors</x:v>
      </x:c>
      <x:c r="C36" s="11" t="n">
        <x:v>0</x:v>
      </x:c>
      <x:c r="D36" s="12" t="str">
        <x:v>Meraki devices</x:v>
      </x:c>
      <x:c r="E36" s="11" t="n">
        <x:v>25</x:v>
      </x:c>
      <x:c r="F36" s="12" t="str">
        <x:v>neighbor links / device</x:v>
      </x:c>
      <x:c r="G36" s="11" t="n">
        <x:v>24</x:v>
      </x:c>
      <x:c r="H36" s="11" t="n">
        <x:v>1</x:v>
      </x:c>
      <x:c r="I36" s="2" t="str">
        <x:v>Topology neighbor info reused from Cisco topology metric.</x:v>
      </x:c>
      <x:c r="J36" s="12" t="n">
        <x:f>IF($C36=1,$E36*MAX(1,$G36)*$H36,0)</x:f>
        <x:v>0</x:v>
      </x:c>
      <x:c r="K36" s="12" t="n">
        <x:f>$J36*(60/'Start Here'!$B$6)</x:f>
        <x:v>0</x:v>
      </x:c>
      <x:c r="L36" s="12" t="n">
        <x:f>$K36*60*24</x:f>
        <x:v>0</x:v>
      </x:c>
      <x:c r="M36" s="12" t="n">
        <x:f>$L36*'Start Here'!$B$7</x:f>
        <x:v>0</x:v>
      </x:c>
    </x:row>
    <x:row r="37">
      <x:c r="A37" s="2" t="str">
        <x:v>Meraki</x:v>
      </x:c>
      <x:c r="B37" s="2" t="str">
        <x:v>Transceiver sensors</x:v>
      </x:c>
      <x:c r="C37" s="11" t="n">
        <x:v>0</x:v>
      </x:c>
      <x:c r="D37" s="12" t="str">
        <x:v>Meraki devices</x:v>
      </x:c>
      <x:c r="E37" s="11" t="n">
        <x:v>25</x:v>
      </x:c>
      <x:c r="F37" s="12" t="str">
        <x:v>optic ports / device</x:v>
      </x:c>
      <x:c r="G37" s="11" t="n">
        <x:v>24</x:v>
      </x:c>
      <x:c r="H37" s="11" t="n">
        <x:v>5</x:v>
      </x:c>
      <x:c r="I37" s="2" t="str">
        <x:v>Sensor/lane/unit combinations from Meraki transceiver history.</x:v>
      </x:c>
      <x:c r="J37" s="12" t="n">
        <x:f>IF($C37=1,$E37*MAX(1,$G37)*$H37,0)</x:f>
        <x:v>0</x:v>
      </x:c>
      <x:c r="K37" s="12" t="n">
        <x:f>$J37*(60/'Start Here'!$B$6)</x:f>
        <x:v>0</x:v>
      </x:c>
      <x:c r="L37" s="12" t="n">
        <x:f>$K37*60*24</x:f>
        <x:v>0</x:v>
      </x:c>
      <x:c r="M37" s="12" t="n">
        <x:f>$L37*'Start Here'!$B$7</x:f>
        <x:v>0</x:v>
      </x:c>
    </x:row>
    <x:row r="38">
      <x:c r="A38" s="2" t="str">
        <x:v>Meraki</x:v>
      </x:c>
      <x:c r="B38" s="2" t="str">
        <x:v>Appliance performance</x:v>
      </x:c>
      <x:c r="C38" s="11" t="n">
        <x:v>0</x:v>
      </x:c>
      <x:c r="D38" s="12" t="str">
        <x:v>appliances</x:v>
      </x:c>
      <x:c r="E38" s="11" t="n">
        <x:v>10</x:v>
      </x:c>
      <x:c r="F38" s="12" t="str">
        <x:v>per appliance</x:v>
      </x:c>
      <x:c r="G38" s="11" t="n">
        <x:v>1</x:v>
      </x:c>
      <x:c r="H38" s="11" t="n">
        <x:v>1</x:v>
      </x:c>
      <x:c r="I38" s="2" t="str">
        <x:v>MX appliance performance score.</x:v>
      </x:c>
      <x:c r="J38" s="12" t="n">
        <x:f>IF($C38=1,$E38*MAX(1,$G38)*$H38,0)</x:f>
        <x:v>0</x:v>
      </x:c>
      <x:c r="K38" s="12" t="n">
        <x:f>$J38*(60/'Start Here'!$B$6)</x:f>
        <x:v>0</x:v>
      </x:c>
      <x:c r="L38" s="12" t="n">
        <x:f>$K38*60*24</x:f>
        <x:v>0</x:v>
      </x:c>
      <x:c r="M38" s="12" t="n">
        <x:f>$L38*'Start Here'!$B$7</x:f>
        <x:v>0</x:v>
      </x:c>
    </x:row>
    <x:row r="39">
      <x:c r="A39" s="2" t="str">
        <x:v>Intersight</x:v>
      </x:c>
      <x:c r="B39" s="2" t="str">
        <x:v>API and scrape health</x:v>
      </x:c>
      <x:c r="C39" s="11" t="n">
        <x:v>0</x:v>
      </x:c>
      <x:c r="D39" s="12" t="str">
        <x:v>accounts</x:v>
      </x:c>
      <x:c r="E39" s="11" t="n">
        <x:v>1</x:v>
      </x:c>
      <x:c r="F39" s="12" t="str">
        <x:v>endpoint/query families</x:v>
      </x:c>
      <x:c r="G39" s="11" t="n">
        <x:v>24</x:v>
      </x:c>
      <x:c r="H39" s="11" t="n">
        <x:v>3</x:v>
      </x:c>
      <x:c r="I39" s="2" t="str">
        <x:v>Duration, errors, rate limited, partial success, and last success. Add two extra account-level MTS if desired.</x:v>
      </x:c>
      <x:c r="J39" s="12" t="n">
        <x:f>IF($C39=1,$E39*MAX(1,$G39)*$H39,0)</x:f>
        <x:v>0</x:v>
      </x:c>
      <x:c r="K39" s="12" t="n">
        <x:f>$J39*(60/'Start Here'!$B$6)</x:f>
        <x:v>0</x:v>
      </x:c>
      <x:c r="L39" s="12" t="n">
        <x:f>$K39*60*24</x:f>
        <x:v>0</x:v>
      </x:c>
      <x:c r="M39" s="12" t="n">
        <x:f>$L39*'Start Here'!$B$7</x:f>
        <x:v>0</x:v>
      </x:c>
    </x:row>
    <x:row r="40">
      <x:c r="A40" s="2" t="str">
        <x:v>Intersight</x:v>
      </x:c>
      <x:c r="B40" s="2" t="str">
        <x:v>Inventory/resource state</x:v>
      </x:c>
      <x:c r="C40" s="11" t="n">
        <x:v>0</x:v>
      </x:c>
      <x:c r="D40" s="12" t="str">
        <x:v>resources</x:v>
      </x:c>
      <x:c r="E40" s="11" t="n">
        <x:v>500</x:v>
      </x:c>
      <x:c r="F40" s="12" t="str">
        <x:v>per resource</x:v>
      </x:c>
      <x:c r="G40" s="11" t="n">
        <x:v>1</x:v>
      </x:c>
      <x:c r="H40" s="11" t="n">
        <x:v>3</x:v>
      </x:c>
      <x:c r="I40" s="2" t="str">
        <x:v>Resource info, status, and count MTS by type/status/severity.</x:v>
      </x:c>
      <x:c r="J40" s="12" t="n">
        <x:f>IF($C40=1,$E40*MAX(1,$G40)*$H40,0)</x:f>
        <x:v>0</x:v>
      </x:c>
      <x:c r="K40" s="12" t="n">
        <x:f>$J40*(60/'Start Here'!$B$6)</x:f>
        <x:v>0</x:v>
      </x:c>
      <x:c r="L40" s="12" t="n">
        <x:f>$K40*60*24</x:f>
        <x:v>0</x:v>
      </x:c>
      <x:c r="M40" s="12" t="n">
        <x:f>$L40*'Start Here'!$B$7</x:f>
        <x:v>0</x:v>
      </x:c>
    </x:row>
    <x:row r="41">
      <x:c r="A41" s="2" t="str">
        <x:v>Intersight</x:v>
      </x:c>
      <x:c r="B41" s="2" t="str">
        <x:v>Events and incident status</x:v>
      </x:c>
      <x:c r="C41" s="11" t="n">
        <x:v>0</x:v>
      </x:c>
      <x:c r="D41" s="12" t="str">
        <x:v>active/recent records</x:v>
      </x:c>
      <x:c r="E41" s="11" t="n">
        <x:v>200</x:v>
      </x:c>
      <x:c r="F41" s="12" t="str">
        <x:v>per record</x:v>
      </x:c>
      <x:c r="G41" s="11" t="n">
        <x:v>1</x:v>
      </x:c>
      <x:c r="H41" s="11" t="n">
        <x:v>2</x:v>
      </x:c>
      <x:c r="I41" s="2" t="str">
        <x:v>Alarms, advisories, HCL, workflows, tasks, and tech-support status/counts. Logs are not included in this metric total.</x:v>
      </x:c>
      <x:c r="J41" s="12" t="n">
        <x:f>IF($C41=1,$E41*MAX(1,$G41)*$H41,0)</x:f>
        <x:v>0</x:v>
      </x:c>
      <x:c r="K41" s="12" t="n">
        <x:f>$J41*(60/'Start Here'!$B$6)</x:f>
        <x:v>0</x:v>
      </x:c>
      <x:c r="L41" s="12" t="n">
        <x:f>$K41*60*24</x:f>
        <x:v>0</x:v>
      </x:c>
      <x:c r="M41" s="12" t="n">
        <x:f>$L41*'Start Here'!$B$7</x:f>
        <x:v>0</x:v>
      </x:c>
    </x:row>
    <x:row r="42">
      <x:c r="A42" s="2" t="str">
        <x:v>Intersight</x:v>
      </x:c>
      <x:c r="B42" s="2" t="str">
        <x:v>Audit count metrics</x:v>
      </x:c>
      <x:c r="C42" s="11" t="n">
        <x:v>0</x:v>
      </x:c>
      <x:c r="D42" s="12" t="str">
        <x:v>audit users</x:v>
      </x:c>
      <x:c r="E42" s="11" t="n">
        <x:v>20</x:v>
      </x:c>
      <x:c r="F42" s="12" t="str">
        <x:v>per user</x:v>
      </x:c>
      <x:c r="G42" s="11" t="n">
        <x:v>1</x:v>
      </x:c>
      <x:c r="H42" s="11" t="n">
        <x:v>1</x:v>
      </x:c>
      <x:c r="I42" s="2" t="str">
        <x:v>Metric count by user. Audit record bodies are emitted as logs, not metric data points.</x:v>
      </x:c>
      <x:c r="J42" s="12" t="n">
        <x:f>IF($C42=1,$E42*MAX(1,$G42)*$H42,0)</x:f>
        <x:v>0</x:v>
      </x:c>
      <x:c r="K42" s="12" t="n">
        <x:f>$J42*(60/'Start Here'!$B$6)</x:f>
        <x:v>0</x:v>
      </x:c>
      <x:c r="L42" s="12" t="n">
        <x:f>$K42*60*24</x:f>
        <x:v>0</x:v>
      </x:c>
      <x:c r="M42" s="12" t="n">
        <x:f>$L42*'Start Here'!$B$7</x:f>
        <x:v>0</x:v>
      </x:c>
    </x:row>
    <x:row r="43">
      <x:c r="A43" s="2" t="str">
        <x:v>Intersight</x:v>
      </x:c>
      <x:c r="B43" s="2" t="str">
        <x:v>Compute/storage/virtualization fields</x:v>
      </x:c>
      <x:c r="C43" s="11" t="n">
        <x:v>0</x:v>
      </x:c>
      <x:c r="D43" s="12" t="str">
        <x:v>objects</x:v>
      </x:c>
      <x:c r="E43" s="11" t="n">
        <x:v>300</x:v>
      </x:c>
      <x:c r="F43" s="12" t="str">
        <x:v>field metrics / object</x:v>
      </x:c>
      <x:c r="G43" s="11" t="n">
        <x:v>3</x:v>
      </x:c>
      <x:c r="H43" s="11" t="n">
        <x:v>1</x:v>
      </x:c>
      <x:c r="I43" s="2" t="str">
        <x:v>Compute capacity, storage health/life, HyperFlex status, Kubernetes connection, VM sizing/power, firmware/target status.</x:v>
      </x:c>
      <x:c r="J43" s="12" t="n">
        <x:f>IF($C43=1,$E43*MAX(1,$G43)*$H43,0)</x:f>
        <x:v>0</x:v>
      </x:c>
      <x:c r="K43" s="12" t="n">
        <x:f>$J43*(60/'Start Here'!$B$6)</x:f>
        <x:v>0</x:v>
      </x:c>
      <x:c r="L43" s="12" t="n">
        <x:f>$K43*60*24</x:f>
        <x:v>0</x:v>
      </x:c>
      <x:c r="M43" s="12" t="n">
        <x:f>$L43*'Start Here'!$B$7</x:f>
        <x:v>0</x:v>
      </x:c>
    </x:row>
    <x:row r="44">
      <x:c r="A44" s="2" t="str">
        <x:v>Intersight</x:v>
      </x:c>
      <x:c r="B44" s="2" t="str">
        <x:v>UCS telemetry GroupBy</x:v>
      </x:c>
      <x:c r="C44" s="11" t="n">
        <x:v>0</x:v>
      </x:c>
      <x:c r="D44" s="12" t="str">
        <x:v>telemetry resource groups</x:v>
      </x:c>
      <x:c r="E44" s="11" t="n">
        <x:v>200</x:v>
      </x:c>
      <x:c r="F44" s="12" t="str">
        <x:v>metric names / group</x:v>
      </x:c>
      <x:c r="G44" s="11" t="n">
        <x:v>50</x:v>
      </x:c>
      <x:c r="H44" s="11" t="n">
        <x:v>1</x:v>
      </x:c>
      <x:c r="I44" s="2" t="str">
        <x:v>Fan, power, temperature, voltage/current, CPU, memory, network, PSU, optical signal, and status metrics.</x:v>
      </x:c>
      <x:c r="J44" s="12" t="n">
        <x:f>IF($C44=1,$E44*MAX(1,$G44)*$H44,0)</x:f>
        <x:v>0</x:v>
      </x:c>
      <x:c r="K44" s="12" t="n">
        <x:f>$J44*(60/'Start Here'!$B$6)</x:f>
        <x:v>0</x:v>
      </x:c>
      <x:c r="L44" s="12" t="n">
        <x:f>$K44*60*24</x:f>
        <x:v>0</x:v>
      </x:c>
      <x:c r="M44" s="12" t="n">
        <x:f>$L44*'Start Here'!$B$7</x:f>
        <x:v>0</x:v>
      </x:c>
    </x:row>
    <x:row r="45">
      <x:c r="A45" s="2" t="str">
        <x:v>Intersight</x:v>
      </x:c>
      <x:c r="B45" s="2" t="str">
        <x:v>HyperFlex telemetry GroupBy</x:v>
      </x:c>
      <x:c r="C45" s="11" t="n">
        <x:v>0</x:v>
      </x:c>
      <x:c r="D45" s="12" t="str">
        <x:v>HyperFlex clusters</x:v>
      </x:c>
      <x:c r="E45" s="11" t="n">
        <x:v>5</x:v>
      </x:c>
      <x:c r="F45" s="12" t="str">
        <x:v>metrics / cluster</x:v>
      </x:c>
      <x:c r="G45" s="11" t="n">
        <x:v>4</x:v>
      </x:c>
      <x:c r="H45" s="11" t="n">
        <x:v>1</x:v>
      </x:c>
      <x:c r="I45" s="2" t="str">
        <x:v>Read/write IOPS and latency.</x:v>
      </x:c>
      <x:c r="J45" s="12" t="n">
        <x:f>IF($C45=1,$E45*MAX(1,$G45)*$H45,0)</x:f>
        <x:v>0</x:v>
      </x:c>
      <x:c r="K45" s="12" t="n">
        <x:f>$J45*(60/'Start Here'!$B$6)</x:f>
        <x:v>0</x:v>
      </x:c>
      <x:c r="L45" s="12" t="n">
        <x:f>$K45*60*24</x:f>
        <x:v>0</x:v>
      </x:c>
      <x:c r="M45" s="12" t="n">
        <x:f>$L45*'Start Here'!$B$7</x:f>
        <x:v>0</x:v>
      </x:c>
    </x:row>
    <x:row r="46">
      <x:c r="A46" s="2" t="str">
        <x:v>Catalyst Center</x:v>
      </x:c>
      <x:c r="B46" s="2" t="str">
        <x:v>API and scrape health</x:v>
      </x:c>
      <x:c r="C46" s="11" t="n">
        <x:v>0</x:v>
      </x:c>
      <x:c r="D46" s="12" t="str">
        <x:v>Catalyst Center targets</x:v>
      </x:c>
      <x:c r="E46" s="11" t="n">
        <x:v>1</x:v>
      </x:c>
      <x:c r="F46" s="12" t="str">
        <x:v>API operation families</x:v>
      </x:c>
      <x:c r="G46" s="11" t="n">
        <x:v>12</x:v>
      </x:c>
      <x:c r="H46" s="11" t="n">
        <x:v>3</x:v>
      </x:c>
      <x:c r="I46" s="2" t="str">
        <x:v>Duration, errors, rate limits, partial success, and last success for Catalyst Center API polling.</x:v>
      </x:c>
      <x:c r="J46" s="12" t="n">
        <x:f>IF($C46=1,$E46*MAX(1,$G46)*$H46,0)</x:f>
        <x:v>0</x:v>
      </x:c>
      <x:c r="K46" s="12" t="n">
        <x:f>$J46*(60/'Start Here'!$B$6)</x:f>
        <x:v>0</x:v>
      </x:c>
      <x:c r="L46" s="12" t="n">
        <x:f>$K46*60*24</x:f>
        <x:v>0</x:v>
      </x:c>
      <x:c r="M46" s="12" t="n">
        <x:f>$L46*'Start Here'!$B$7</x:f>
        <x:v>0</x:v>
      </x:c>
    </x:row>
    <x:row r="47">
      <x:c r="A47" s="2" t="str">
        <x:v>Catalyst Center</x:v>
      </x:c>
      <x:c r="B47" s="2" t="str">
        <x:v>Inventory and reachability</x:v>
      </x:c>
      <x:c r="C47" s="11" t="n">
        <x:v>0</x:v>
      </x:c>
      <x:c r="D47" s="12" t="str">
        <x:v>Catalyst devices</x:v>
      </x:c>
      <x:c r="E47" s="11" t="n">
        <x:v>1000</x:v>
      </x:c>
      <x:c r="F47" s="12" t="str">
        <x:v>per device</x:v>
      </x:c>
      <x:c r="G47" s="11" t="n">
        <x:v>1</x:v>
      </x:c>
      <x:c r="H47" s="11" t="n">
        <x:v>6</x:v>
      </x:c>
      <x:c r="I47" s="2" t="str">
        <x:v>Network-device count, reachability, collection status, interface count, uptime, and reused device-up metrics.</x:v>
      </x:c>
      <x:c r="J47" s="12" t="n">
        <x:f>IF($C47=1,$E47*MAX(1,$G47)*$H47,0)</x:f>
        <x:v>0</x:v>
      </x:c>
      <x:c r="K47" s="12" t="n">
        <x:f>$J47*(60/'Start Here'!$B$6)</x:f>
        <x:v>0</x:v>
      </x:c>
      <x:c r="L47" s="12" t="n">
        <x:f>$K47*60*24</x:f>
        <x:v>0</x:v>
      </x:c>
      <x:c r="M47" s="12" t="n">
        <x:f>$L47*'Start Here'!$B$7</x:f>
        <x:v>0</x:v>
      </x:c>
    </x:row>
    <x:row r="48">
      <x:c r="A48" s="2" t="str">
        <x:v>Catalyst Center</x:v>
      </x:c>
      <x:c r="B48" s="2" t="str">
        <x:v>Assurance health</x:v>
      </x:c>
      <x:c r="C48" s="11" t="n">
        <x:v>0</x:v>
      </x:c>
      <x:c r="D48" s="12" t="str">
        <x:v>sites / entities</x:v>
      </x:c>
      <x:c r="E48" s="11" t="n">
        <x:v>100</x:v>
      </x:c>
      <x:c r="F48" s="12" t="str">
        <x:v>health states</x:v>
      </x:c>
      <x:c r="G48" s="11" t="n">
        <x:v>8</x:v>
      </x:c>
      <x:c r="H48" s="11" t="n">
        <x:v>1</x:v>
      </x:c>
      <x:c r="I48" s="2" t="str">
        <x:v>Network, entity, category, site, client, and health-state metrics from Assurance endpoints.</x:v>
      </x:c>
      <x:c r="J48" s="12" t="n">
        <x:f>IF($C48=1,$E48*MAX(1,$G48)*$H48,0)</x:f>
        <x:v>0</x:v>
      </x:c>
      <x:c r="K48" s="12" t="n">
        <x:f>$J48*(60/'Start Here'!$B$6)</x:f>
        <x:v>0</x:v>
      </x:c>
      <x:c r="L48" s="12" t="n">
        <x:f>$K48*60*24</x:f>
        <x:v>0</x:v>
      </x:c>
      <x:c r="M48" s="12" t="n">
        <x:f>$L48*'Start Here'!$B$7</x:f>
        <x:v>0</x:v>
      </x:c>
    </x:row>
    <x:row r="49">
      <x:c r="A49" s="2" t="str">
        <x:v>Catalyst Center</x:v>
      </x:c>
      <x:c r="B49" s="2" t="str">
        <x:v>Topology and assurance issues</x:v>
      </x:c>
      <x:c r="C49" s="11" t="n">
        <x:v>0</x:v>
      </x:c>
      <x:c r="D49" s="12" t="str">
        <x:v>nodes/links/issues</x:v>
      </x:c>
      <x:c r="E49" s="11" t="n">
        <x:v>500</x:v>
      </x:c>
      <x:c r="F49" s="12" t="str">
        <x:v>status/severity combos</x:v>
      </x:c>
      <x:c r="G49" s="11" t="n">
        <x:v>4</x:v>
      </x:c>
      <x:c r="H49" s="11" t="n">
        <x:v>1</x:v>
      </x:c>
      <x:c r="I49" s="2" t="str">
        <x:v>Physical topology counts and assurance issue totals by severity, priority, status, category, entity type, and site.</x:v>
      </x:c>
      <x:c r="J49" s="12" t="n">
        <x:f>IF($C49=1,$E49*MAX(1,$G49)*$H49,0)</x:f>
        <x:v>0</x:v>
      </x:c>
      <x:c r="K49" s="12" t="n">
        <x:f>$J49*(60/'Start Here'!$B$6)</x:f>
        <x:v>0</x:v>
      </x:c>
      <x:c r="L49" s="12" t="n">
        <x:f>$K49*60*24</x:f>
        <x:v>0</x:v>
      </x:c>
      <x:c r="M49" s="12" t="n">
        <x:f>$L49*'Start Here'!$B$7</x:f>
        <x:v>0</x:v>
      </x:c>
    </x:row>
    <x:row r="50">
      <x:c r="A50" s="2" t="str">
        <x:v>Catalyst Center</x:v>
      </x:c>
      <x:c r="B50" s="2" t="str">
        <x:v>Targeted device and client details</x:v>
      </x:c>
      <x:c r="C50" s="11" t="n">
        <x:v>0</x:v>
      </x:c>
      <x:c r="D50" s="12" t="str">
        <x:v>configured detail targets</x:v>
      </x:c>
      <x:c r="E50" s="11" t="n">
        <x:v>20</x:v>
      </x:c>
      <x:c r="F50" s="12" t="str">
        <x:v>detail metrics / target</x:v>
      </x:c>
      <x:c r="G50" s="11" t="n">
        <x:v>5</x:v>
      </x:c>
      <x:c r="H50" s="11" t="n">
        <x:v>1</x:v>
      </x:c>
      <x:c r="I50" s="2" t="str">
        <x:v>Only emits for configured device-detail and client-detail lookups. Client RF and traffic fields are data dependent.</x:v>
      </x:c>
      <x:c r="J50" s="12" t="n">
        <x:f>IF($C50=1,$E50*MAX(1,$G50)*$H50,0)</x:f>
        <x:v>0</x:v>
      </x:c>
      <x:c r="K50" s="12" t="n">
        <x:f>$J50*(60/'Start Here'!$B$6)</x:f>
        <x:v>0</x:v>
      </x:c>
      <x:c r="L50" s="12" t="n">
        <x:f>$K50*60*24</x:f>
        <x:v>0</x:v>
      </x:c>
      <x:c r="M50" s="12" t="n">
        <x:f>$L50*'Start Here'!$B$7</x:f>
        <x:v>0</x:v>
      </x:c>
    </x:row>
    <x:row r="51">
      <x:c r="A51" s="2" t="str">
        <x:v>Catalyst 9800</x:v>
      </x:c>
      <x:c r="B51" s="2" t="str">
        <x:v>Receiver and subscription health</x:v>
      </x:c>
      <x:c r="C51" s="11" t="n">
        <x:v>0</x:v>
      </x:c>
      <x:c r="D51" s="12" t="str">
        <x:v>WLC targets</x:v>
      </x:c>
      <x:c r="E51" s="11" t="n">
        <x:v>2</x:v>
      </x:c>
      <x:c r="F51" s="12" t="str">
        <x:v>subscriptions / target</x:v>
      </x:c>
      <x:c r="G51" s="11" t="n">
        <x:v>4</x:v>
      </x:c>
      <x:c r="H51" s="11" t="n">
        <x:v>8</x:v>
      </x:c>
      <x:c r="I51" s="2" t="str">
        <x:v>Receiver active subscriptions, updates, decode errors, unsupported paths, reconnects, dropped datapoints, compact GPB payloads, and last success.</x:v>
      </x:c>
      <x:c r="J51" s="12" t="n">
        <x:f>IF($C51=1,$E51*MAX(1,$G51)*$H51,0)</x:f>
        <x:v>0</x:v>
      </x:c>
      <x:c r="K51" s="12" t="n">
        <x:f>$J51*(60/'Start Here'!$B$6)</x:f>
        <x:v>0</x:v>
      </x:c>
      <x:c r="L51" s="12" t="n">
        <x:f>$K51*60*24</x:f>
        <x:v>0</x:v>
      </x:c>
      <x:c r="M51" s="12" t="n">
        <x:f>$L51*'Start Here'!$B$7</x:f>
        <x:v>0</x:v>
      </x:c>
    </x:row>
    <x:row r="52">
      <x:c r="A52" s="2" t="str">
        <x:v>Catalyst 9800</x:v>
      </x:c>
      <x:c r="B52" s="2" t="str">
        <x:v>AP join, CAPWAP, and operational state</x:v>
      </x:c>
      <x:c r="C52" s="11" t="n">
        <x:v>0</x:v>
      </x:c>
      <x:c r="D52" s="12" t="str">
        <x:v>APs</x:v>
      </x:c>
      <x:c r="E52" s="11" t="n">
        <x:v>200</x:v>
      </x:c>
      <x:c r="F52" s="12" t="str">
        <x:v>state metrics / AP</x:v>
      </x:c>
      <x:c r="G52" s="11" t="n">
        <x:v>1</x:v>
      </x:c>
      <x:c r="H52" s="11" t="n">
        <x:v>6</x:v>
      </x:c>
      <x:c r="I52" s="2" t="str">
        <x:v>AP join status, join failures, CAPWAP state/encryption, operational identity, and disconnect counters.</x:v>
      </x:c>
      <x:c r="J52" s="12" t="n">
        <x:f>IF($C52=1,$E52*MAX(1,$G52)*$H52,0)</x:f>
        <x:v>0</x:v>
      </x:c>
      <x:c r="K52" s="12" t="n">
        <x:f>$J52*(60/'Start Here'!$B$6)</x:f>
        <x:v>0</x:v>
      </x:c>
      <x:c r="L52" s="12" t="n">
        <x:f>$K52*60*24</x:f>
        <x:v>0</x:v>
      </x:c>
      <x:c r="M52" s="12" t="n">
        <x:f>$L52*'Start Here'!$B$7</x:f>
        <x:v>0</x:v>
      </x:c>
    </x:row>
    <x:row r="53">
      <x:c r="A53" s="2" t="str">
        <x:v>Catalyst 9800</x:v>
      </x:c>
      <x:c r="B53" s="2" t="str">
        <x:v>RF radio and RRM telemetry</x:v>
      </x:c>
      <x:c r="C53" s="11" t="n">
        <x:v>0</x:v>
      </x:c>
      <x:c r="D53" s="12" t="str">
        <x:v>radios</x:v>
      </x:c>
      <x:c r="E53" s="11" t="n">
        <x:v>400</x:v>
      </x:c>
      <x:c r="F53" s="12" t="str">
        <x:v>radio metrics / radio</x:v>
      </x:c>
      <x:c r="G53" s="11" t="n">
        <x:v>1</x:v>
      </x:c>
      <x:c r="H53" s="11" t="n">
        <x:v>8</x:v>
      </x:c>
      <x:c r="I53" s="2" t="str">
        <x:v>Radio client counts, channel utilization, noise, load, RRM measurement, and channel-change counters.</x:v>
      </x:c>
      <x:c r="J53" s="12" t="n">
        <x:f>IF($C53=1,$E53*MAX(1,$G53)*$H53,0)</x:f>
        <x:v>0</x:v>
      </x:c>
      <x:c r="K53" s="12" t="n">
        <x:f>$J53*(60/'Start Here'!$B$6)</x:f>
        <x:v>0</x:v>
      </x:c>
      <x:c r="L53" s="12" t="n">
        <x:f>$K53*60*24</x:f>
        <x:v>0</x:v>
      </x:c>
      <x:c r="M53" s="12" t="n">
        <x:f>$L53*'Start Here'!$B$7</x:f>
        <x:v>0</x:v>
      </x:c>
    </x:row>
    <x:row r="54">
      <x:c r="A54" s="2" t="str">
        <x:v>Catalyst 9800</x:v>
      </x:c>
      <x:c r="B54" s="2" t="str">
        <x:v>SSID and BSSID counters</x:v>
      </x:c>
      <x:c r="C54" s="11" t="n">
        <x:v>0</x:v>
      </x:c>
      <x:c r="D54" s="12" t="str">
        <x:v>APs</x:v>
      </x:c>
      <x:c r="E54" s="11" t="n">
        <x:v>200</x:v>
      </x:c>
      <x:c r="F54" s="12" t="str">
        <x:v>BSS / AP</x:v>
      </x:c>
      <x:c r="G54" s="11" t="n">
        <x:v>8</x:v>
      </x:c>
      <x:c r="H54" s="11" t="n">
        <x:v>5</x:v>
      </x:c>
      <x:c r="I54" s="2" t="str">
        <x:v>SSID/BSSID client counts, channel utilization, bytes, retries, and related counters.</x:v>
      </x:c>
      <x:c r="J54" s="12" t="n">
        <x:f>IF($C54=1,$E54*MAX(1,$G54)*$H54,0)</x:f>
        <x:v>0</x:v>
      </x:c>
      <x:c r="K54" s="12" t="n">
        <x:f>$J54*(60/'Start Here'!$B$6)</x:f>
        <x:v>0</x:v>
      </x:c>
      <x:c r="L54" s="12" t="n">
        <x:f>$K54*60*24</x:f>
        <x:v>0</x:v>
      </x:c>
      <x:c r="M54" s="12" t="n">
        <x:f>$L54*'Start Here'!$B$7</x:f>
        <x:v>0</x:v>
      </x:c>
    </x:row>
    <x:row r="55">
      <x:c r="A55" s="2" t="str">
        <x:v>Catalyst 9800</x:v>
      </x:c>
      <x:c r="B55" s="2" t="str">
        <x:v>Mobility, HA, and auth summary</x:v>
      </x:c>
      <x:c r="C55" s="11" t="n">
        <x:v>0</x:v>
      </x:c>
      <x:c r="D55" s="12" t="str">
        <x:v>WLC targets</x:v>
      </x:c>
      <x:c r="E55" s="11" t="n">
        <x:v>2</x:v>
      </x:c>
      <x:c r="F55" s="12" t="str">
        <x:v>peer/server/state combos</x:v>
      </x:c>
      <x:c r="G55" s="11" t="n">
        <x:v>24</x:v>
      </x:c>
      <x:c r="H55" s="11" t="n">
        <x:v>3</x:v>
      </x:c>
      <x:c r="I55" s="2" t="str">
        <x:v>Mobility peer state, HA state/switchover, and RADIUS summary counters.</x:v>
      </x:c>
      <x:c r="J55" s="12" t="n">
        <x:f>IF($C55=1,$E55*MAX(1,$G55)*$H55,0)</x:f>
        <x:v>0</x:v>
      </x:c>
      <x:c r="K55" s="12" t="n">
        <x:f>$J55*(60/'Start Here'!$B$6)</x:f>
        <x:v>0</x:v>
      </x:c>
      <x:c r="L55" s="12" t="n">
        <x:f>$K55*60*24</x:f>
        <x:v>0</x:v>
      </x:c>
      <x:c r="M55" s="12" t="n">
        <x:f>$L55*'Start Here'!$B$7</x:f>
        <x:v>0</x:v>
      </x:c>
    </x:row>
    <x:row r="56">
      <x:c r="A56" s="2" t="str">
        <x:v>Catalyst 9800</x:v>
      </x:c>
      <x:c r="B56" s="2" t="str">
        <x:v>Controller system and interfaces</x:v>
      </x:c>
      <x:c r="C56" s="11" t="n">
        <x:v>0</x:v>
      </x:c>
      <x:c r="D56" s="12" t="str">
        <x:v>WLC targets</x:v>
      </x:c>
      <x:c r="E56" s="11" t="n">
        <x:v>2</x:v>
      </x:c>
      <x:c r="F56" s="12" t="str">
        <x:v>component/interface combos</x:v>
      </x:c>
      <x:c r="G56" s="11" t="n">
        <x:v>120</x:v>
      </x:c>
      <x:c r="H56" s="11" t="n">
        <x:v>4</x:v>
      </x:c>
      <x:c r="I56" s="2" t="str">
        <x:v>Controller CPU, platform, hardware, interface, LLDP, and telemetry self-health path groups.</x:v>
      </x:c>
      <x:c r="J56" s="12" t="n">
        <x:f>IF($C56=1,$E56*MAX(1,$G56)*$H56,0)</x:f>
        <x:v>0</x:v>
      </x:c>
      <x:c r="K56" s="12" t="n">
        <x:f>$J56*(60/'Start Here'!$B$6)</x:f>
        <x:v>0</x:v>
      </x:c>
      <x:c r="L56" s="12" t="n">
        <x:f>$K56*60*24</x:f>
        <x:v>0</x:v>
      </x:c>
      <x:c r="M56" s="12" t="n">
        <x:f>$L56*'Start Here'!$B$7</x:f>
        <x:v>0</x:v>
      </x:c>
    </x:row>
    <x:row r="57">
      <x:c r="A57" s="2" t="str">
        <x:v>Catalyst 9800</x:v>
      </x:c>
      <x:c r="B57" s="2" t="str">
        <x:v>Client detail telemetry</x:v>
      </x:c>
      <x:c r="C57" s="11" t="n">
        <x:v>0</x:v>
      </x:c>
      <x:c r="D57" s="12" t="str">
        <x:v>clients</x:v>
      </x:c>
      <x:c r="E57" s="11" t="n">
        <x:v>2000</x:v>
      </x:c>
      <x:c r="F57" s="12" t="str">
        <x:v>client metric groups</x:v>
      </x:c>
      <x:c r="G57" s="11" t="n">
        <x:v>1</x:v>
      </x:c>
      <x:c r="H57" s="11" t="n">
        <x:v>8</x:v>
      </x:c>
      <x:c r="I57" s="2" t="str">
        <x:v>Client connection, dot11, traffic, RSSI/SNR, roam, WLAN, and exclusion details. High-cardinality and opt-in.</x:v>
      </x:c>
      <x:c r="J57" s="12" t="n">
        <x:f>IF($C57=1,$E57*MAX(1,$G57)*$H57,0)</x:f>
        <x:v>0</x:v>
      </x:c>
      <x:c r="K57" s="12" t="n">
        <x:f>$J57*(60/'Start Here'!$B$6)</x:f>
        <x:v>0</x:v>
      </x:c>
      <x:c r="L57" s="12" t="n">
        <x:f>$K57*60*24</x:f>
        <x:v>0</x:v>
      </x:c>
      <x:c r="M57" s="12" t="n">
        <x:f>$L57*'Start Here'!$B$7</x:f>
        <x:v>0</x:v>
      </x:c>
    </x:row>
    <x:row r="58">
      <x:c r="A58" s="2" t="str">
        <x:v>Catalyst 9800</x:v>
      </x:c>
      <x:c r="B58" s="2" t="str">
        <x:v>CAPWAP packets and AP neighbors</x:v>
      </x:c>
      <x:c r="C58" s="11" t="n">
        <x:v>0</x:v>
      </x:c>
      <x:c r="D58" s="12" t="str">
        <x:v>APs</x:v>
      </x:c>
      <x:c r="E58" s="11" t="n">
        <x:v>200</x:v>
      </x:c>
      <x:c r="F58" s="12" t="str">
        <x:v>packet/neighbor combos</x:v>
      </x:c>
      <x:c r="G58" s="11" t="n">
        <x:v>8</x:v>
      </x:c>
      <x:c r="H58" s="11" t="n">
        <x:v>4</x:v>
      </x:c>
      <x:c r="I58" s="2" t="str">
        <x:v>CAPWAP packet/error counters and RRM/AP neighbor records. High-volume path groups.</x:v>
      </x:c>
      <x:c r="J58" s="12" t="n">
        <x:f>IF($C58=1,$E58*MAX(1,$G58)*$H58,0)</x:f>
        <x:v>0</x:v>
      </x:c>
      <x:c r="K58" s="12" t="n">
        <x:f>$J58*(60/'Start Here'!$B$6)</x:f>
        <x:v>0</x:v>
      </x:c>
      <x:c r="L58" s="12" t="n">
        <x:f>$K58*60*24</x:f>
        <x:v>0</x:v>
      </x:c>
      <x:c r="M58" s="12" t="n">
        <x:f>$L58*'Start Here'!$B$7</x:f>
        <x:v>0</x:v>
      </x:c>
    </x:row>
    <x:row r="59">
      <x:c r="A59" s="2" t="str">
        <x:v>SD-WAN</x:v>
      </x:c>
      <x:c r="B59" s="2" t="str">
        <x:v>API and scrape health</x:v>
      </x:c>
      <x:c r="C59" s="11" t="n">
        <x:v>0</x:v>
      </x:c>
      <x:c r="D59" s="12" t="str">
        <x:v>SD-WAN Manager targets</x:v>
      </x:c>
      <x:c r="E59" s="11" t="n">
        <x:v>1</x:v>
      </x:c>
      <x:c r="F59" s="12" t="str">
        <x:v>API operation families</x:v>
      </x:c>
      <x:c r="G59" s="11" t="n">
        <x:v>24</x:v>
      </x:c>
      <x:c r="H59" s="11" t="n">
        <x:v>3</x:v>
      </x:c>
      <x:c r="I59" s="2" t="str">
        <x:v>Duration, errors, rate limits, endpoint skipped/unavailable, partial success, last success, and manager up.</x:v>
      </x:c>
      <x:c r="J59" s="12" t="n">
        <x:f>IF($C59=1,$E59*MAX(1,$G59)*$H59,0)</x:f>
        <x:v>0</x:v>
      </x:c>
      <x:c r="K59" s="12" t="n">
        <x:f>$J59*(60/'Start Here'!$B$6)</x:f>
        <x:v>0</x:v>
      </x:c>
      <x:c r="L59" s="12" t="n">
        <x:f>$K59*60*24</x:f>
        <x:v>0</x:v>
      </x:c>
      <x:c r="M59" s="12" t="n">
        <x:f>$L59*'Start Here'!$B$7</x:f>
        <x:v>0</x:v>
      </x:c>
    </x:row>
    <x:row r="60">
      <x:c r="A60" s="2" t="str">
        <x:v>SD-WAN</x:v>
      </x:c>
      <x:c r="B60" s="2" t="str">
        <x:v>Inventory and reachability</x:v>
      </x:c>
      <x:c r="C60" s="11" t="n">
        <x:v>0</x:v>
      </x:c>
      <x:c r="D60" s="12" t="str">
        <x:v>SD-WAN devices</x:v>
      </x:c>
      <x:c r="E60" s="11" t="n">
        <x:v>100</x:v>
      </x:c>
      <x:c r="F60" s="12" t="str">
        <x:v>per device</x:v>
      </x:c>
      <x:c r="G60" s="11" t="n">
        <x:v>1</x:v>
      </x:c>
      <x:c r="H60" s="11" t="n">
        <x:v>6</x:v>
      </x:c>
      <x:c r="I60" s="2" t="str">
        <x:v>Resource info/status, device reachability, certificate validity, device up, and inventory counts.</x:v>
      </x:c>
      <x:c r="J60" s="12" t="n">
        <x:f>IF($C60=1,$E60*MAX(1,$G60)*$H60,0)</x:f>
        <x:v>0</x:v>
      </x:c>
      <x:c r="K60" s="12" t="n">
        <x:f>$J60*(60/'Start Here'!$B$6)</x:f>
        <x:v>0</x:v>
      </x:c>
      <x:c r="L60" s="12" t="n">
        <x:f>$K60*60*24</x:f>
        <x:v>0</x:v>
      </x:c>
      <x:c r="M60" s="12" t="n">
        <x:f>$L60*'Start Here'!$B$7</x:f>
        <x:v>0</x:v>
      </x:c>
    </x:row>
    <x:row r="61">
      <x:c r="A61" s="2" t="str">
        <x:v>SD-WAN</x:v>
      </x:c>
      <x:c r="B61" s="2" t="str">
        <x:v>Control, BFD, and AppRoute</x:v>
      </x:c>
      <x:c r="C61" s="11" t="n">
        <x:v>0</x:v>
      </x:c>
      <x:c r="D61" s="12" t="str">
        <x:v>SD-WAN devices</x:v>
      </x:c>
      <x:c r="E61" s="11" t="n">
        <x:v>100</x:v>
      </x:c>
      <x:c r="F61" s="12" t="str">
        <x:v>peers/tunnels / device</x:v>
      </x:c>
      <x:c r="G61" s="11" t="n">
        <x:v>8</x:v>
      </x:c>
      <x:c r="H61" s="11" t="n">
        <x:v>5</x:v>
      </x:c>
      <x:c r="I61" s="2" t="str">
        <x:v>Control connection status/expected/actual, BFD session status, and AppRoute SLA status.</x:v>
      </x:c>
      <x:c r="J61" s="12" t="n">
        <x:f>IF($C61=1,$E61*MAX(1,$G61)*$H61,0)</x:f>
        <x:v>0</x:v>
      </x:c>
      <x:c r="K61" s="12" t="n">
        <x:f>$J61*(60/'Start Here'!$B$6)</x:f>
        <x:v>0</x:v>
      </x:c>
      <x:c r="L61" s="12" t="n">
        <x:f>$K61*60*24</x:f>
        <x:v>0</x:v>
      </x:c>
      <x:c r="M61" s="12" t="n">
        <x:f>$L61*'Start Here'!$B$7</x:f>
        <x:v>0</x:v>
      </x:c>
    </x:row>
    <x:row r="62">
      <x:c r="A62" s="2" t="str">
        <x:v>SD-WAN</x:v>
      </x:c>
      <x:c r="B62" s="2" t="str">
        <x:v>Interfaces and transport</x:v>
      </x:c>
      <x:c r="C62" s="11" t="n">
        <x:v>0</x:v>
      </x:c>
      <x:c r="D62" s="12" t="str">
        <x:v>SD-WAN devices</x:v>
      </x:c>
      <x:c r="E62" s="11" t="n">
        <x:v>100</x:v>
      </x:c>
      <x:c r="F62" s="12" t="str">
        <x:v>interfaces / device</x:v>
      </x:c>
      <x:c r="G62" s="11" t="n">
        <x:v>8</x:v>
      </x:c>
      <x:c r="H62" s="11" t="n">
        <x:v>4</x:v>
      </x:c>
      <x:c r="I62" s="2" t="str">
        <x:v>Interface operational/admin/transport status and reusable network interface metrics.</x:v>
      </x:c>
      <x:c r="J62" s="12" t="n">
        <x:f>IF($C62=1,$E62*MAX(1,$G62)*$H62,0)</x:f>
        <x:v>0</x:v>
      </x:c>
      <x:c r="K62" s="12" t="n">
        <x:f>$J62*(60/'Start Here'!$B$6)</x:f>
        <x:v>0</x:v>
      </x:c>
      <x:c r="L62" s="12" t="n">
        <x:f>$K62*60*24</x:f>
        <x:v>0</x:v>
      </x:c>
      <x:c r="M62" s="12" t="n">
        <x:f>$L62*'Start Here'!$B$7</x:f>
        <x:v>0</x:v>
      </x:c>
    </x:row>
    <x:row r="63">
      <x:c r="A63" s="2" t="str">
        <x:v>SD-WAN</x:v>
      </x:c>
      <x:c r="B63" s="2" t="str">
        <x:v>Alarms, events, and audit counts</x:v>
      </x:c>
      <x:c r="C63" s="11" t="n">
        <x:v>0</x:v>
      </x:c>
      <x:c r="D63" s="12" t="str">
        <x:v>active/recent records</x:v>
      </x:c>
      <x:c r="E63" s="11" t="n">
        <x:v>500</x:v>
      </x:c>
      <x:c r="F63" s="12" t="str">
        <x:v>per record</x:v>
      </x:c>
      <x:c r="G63" s="11" t="n">
        <x:v>1</x:v>
      </x:c>
      <x:c r="H63" s="11" t="n">
        <x:v>2</x:v>
      </x:c>
      <x:c r="I63" s="2" t="str">
        <x:v>Alarm, event, and audit count metrics. Detailed records are log-oriented evidence.</x:v>
      </x:c>
      <x:c r="J63" s="12" t="n">
        <x:f>IF($C63=1,$E63*MAX(1,$G63)*$H63,0)</x:f>
        <x:v>0</x:v>
      </x:c>
      <x:c r="K63" s="12" t="n">
        <x:f>$J63*(60/'Start Here'!$B$6)</x:f>
        <x:v>0</x:v>
      </x:c>
      <x:c r="L63" s="12" t="n">
        <x:f>$K63*60*24</x:f>
        <x:v>0</x:v>
      </x:c>
      <x:c r="M63" s="12" t="n">
        <x:f>$L63*'Start Here'!$B$7</x:f>
        <x:v>0</x:v>
      </x:c>
    </x:row>
    <x:row r="64">
      <x:c r="A64" s="2" t="str">
        <x:v>SD-WAN</x:v>
      </x:c>
      <x:c r="B64" s="2" t="str">
        <x:v>Realtime tunnels and flows</x:v>
      </x:c>
      <x:c r="C64" s="11" t="n">
        <x:v>0</x:v>
      </x:c>
      <x:c r="D64" s="12" t="str">
        <x:v>SD-WAN devices</x:v>
      </x:c>
      <x:c r="E64" s="11" t="n">
        <x:v>100</x:v>
      </x:c>
      <x:c r="F64" s="12" t="str">
        <x:v>tunnels/flows / device</x:v>
      </x:c>
      <x:c r="G64" s="11" t="n">
        <x:v>20</x:v>
      </x:c>
      <x:c r="H64" s="11" t="n">
        <x:v>3</x:v>
      </x:c>
      <x:c r="I64" s="2" t="str">
        <x:v>Realtime details, tunnel, flow, and path metrics. Requires target filters and is opt-in.</x:v>
      </x:c>
      <x:c r="J64" s="12" t="n">
        <x:f>IF($C64=1,$E64*MAX(1,$G64)*$H64,0)</x:f>
        <x:v>0</x:v>
      </x:c>
      <x:c r="K64" s="12" t="n">
        <x:f>$J64*(60/'Start Here'!$B$6)</x:f>
        <x:v>0</x:v>
      </x:c>
      <x:c r="L64" s="12" t="n">
        <x:f>$K64*60*24</x:f>
        <x:v>0</x:v>
      </x:c>
      <x:c r="M64" s="12" t="n">
        <x:f>$L64*'Start Here'!$B$7</x:f>
        <x:v>0</x:v>
      </x:c>
    </x:row>
    <x:row r="65">
      <x:c r="A65" s="2" t="str">
        <x:v>SD-WAN</x:v>
      </x:c>
      <x:c r="B65" s="2" t="str">
        <x:v>Policy, QoS, security, AppQoE, and NWPI</x:v>
      </x:c>
      <x:c r="C65" s="11" t="n">
        <x:v>0</x:v>
      </x:c>
      <x:c r="D65" s="12" t="str">
        <x:v>SD-WAN devices</x:v>
      </x:c>
      <x:c r="E65" s="11" t="n">
        <x:v>100</x:v>
      </x:c>
      <x:c r="F65" s="12" t="str">
        <x:v>service/app combos / device</x:v>
      </x:c>
      <x:c r="G65" s="11" t="n">
        <x:v>20</x:v>
      </x:c>
      <x:c r="H65" s="11" t="n">
        <x:v>2</x:v>
      </x:c>
      <x:c r="I65" s="2" t="str">
        <x:v>Policy QoS, security, AppQoE, Cloud OnRamp, NWPI, and ThousandEyes-style opt-in resource status metrics.</x:v>
      </x:c>
      <x:c r="J65" s="12" t="n">
        <x:f>IF($C65=1,$E65*MAX(1,$G65)*$H65,0)</x:f>
        <x:v>0</x:v>
      </x:c>
      <x:c r="K65" s="12" t="n">
        <x:f>$J65*(60/'Start Here'!$B$6)</x:f>
        <x:v>0</x:v>
      </x:c>
      <x:c r="L65" s="12" t="n">
        <x:f>$K65*60*24</x:f>
        <x:v>0</x:v>
      </x:c>
      <x:c r="M65" s="12" t="n">
        <x:f>$L65*'Start Here'!$B$7</x:f>
        <x:v>0</x:v>
      </x:c>
    </x:row>
    <x:row r="66">
      <x:c r="A66" s="2" t="str">
        <x:v>SD-WAN</x:v>
      </x:c>
      <x:c r="B66" s="2" t="str">
        <x:v>Underlay, cellular, energy, routing, and lifecycle</x:v>
      </x:c>
      <x:c r="C66" s="11" t="n">
        <x:v>0</x:v>
      </x:c>
      <x:c r="D66" s="12" t="str">
        <x:v>SD-WAN devices</x:v>
      </x:c>
      <x:c r="E66" s="11" t="n">
        <x:v>100</x:v>
      </x:c>
      <x:c r="F66" s="12" t="str">
        <x:v>resource combos / device</x:v>
      </x:c>
      <x:c r="G66" s="11" t="n">
        <x:v>16</x:v>
      </x:c>
      <x:c r="H66" s="11" t="n">
        <x:v>2</x:v>
      </x:c>
      <x:c r="I66" s="2" t="str">
        <x:v>Underlay, cellular, hardware energy, routing services, branch services, compliance, and management-security groups.</x:v>
      </x:c>
      <x:c r="J66" s="12" t="n">
        <x:f>IF($C66=1,$E66*MAX(1,$G66)*$H66,0)</x:f>
        <x:v>0</x:v>
      </x:c>
      <x:c r="K66" s="12" t="n">
        <x:f>$J66*(60/'Start Here'!$B$6)</x:f>
        <x:v>0</x:v>
      </x:c>
      <x:c r="L66" s="12" t="n">
        <x:f>$K66*60*24</x:f>
        <x:v>0</x:v>
      </x:c>
      <x:c r="M66" s="12" t="n">
        <x:f>$L66*'Start Here'!$B$7</x:f>
        <x:v>0</x:v>
      </x:c>
    </x:row>
    <x:row r="67">
      <x:c r="A67" s="2" t="str">
        <x:v>Nexus Dashboard</x:v>
      </x:c>
      <x:c r="B67" s="2" t="str">
        <x:v>API, scrape, and service health</x:v>
      </x:c>
      <x:c r="C67" s="11" t="n">
        <x:v>0</x:v>
      </x:c>
      <x:c r="D67" s="12" t="str">
        <x:v>Nexus Dashboard targets</x:v>
      </x:c>
      <x:c r="E67" s="11" t="n">
        <x:v>1</x:v>
      </x:c>
      <x:c r="F67" s="12" t="str">
        <x:v>API/service groups</x:v>
      </x:c>
      <x:c r="G67" s="11" t="n">
        <x:v>12</x:v>
      </x:c>
      <x:c r="H67" s="11" t="n">
        <x:v>4</x:v>
      </x:c>
      <x:c r="I67" s="2" t="str">
        <x:v>API duration/errors/rate limits plus service skipped, unavailable, endpoint error, partial success, and last success metrics.</x:v>
      </x:c>
      <x:c r="J67" s="12" t="n">
        <x:f>IF($C67=1,$E67*MAX(1,$G67)*$H67,0)</x:f>
        <x:v>0</x:v>
      </x:c>
      <x:c r="K67" s="12" t="n">
        <x:f>$J67*(60/'Start Here'!$B$6)</x:f>
        <x:v>0</x:v>
      </x:c>
      <x:c r="L67" s="12" t="n">
        <x:f>$K67*60*24</x:f>
        <x:v>0</x:v>
      </x:c>
      <x:c r="M67" s="12" t="n">
        <x:f>$L67*'Start Here'!$B$7</x:f>
        <x:v>0</x:v>
      </x:c>
    </x:row>
    <x:row r="68">
      <x:c r="A68" s="2" t="str">
        <x:v>Nexus Dashboard</x:v>
      </x:c>
      <x:c r="B68" s="2" t="str">
        <x:v>Controller resources and fabric state</x:v>
      </x:c>
      <x:c r="C68" s="11" t="n">
        <x:v>0</x:v>
      </x:c>
      <x:c r="D68" s="12" t="str">
        <x:v>fabric/switch resources</x:v>
      </x:c>
      <x:c r="E68" s="11" t="n">
        <x:v>500</x:v>
      </x:c>
      <x:c r="F68" s="12" t="str">
        <x:v>status/resource metrics</x:v>
      </x:c>
      <x:c r="G68" s="11" t="n">
        <x:v>3</x:v>
      </x:c>
      <x:c r="H68" s="11" t="n">
        <x:v>1</x:v>
      </x:c>
      <x:c r="I68" s="2" t="str">
        <x:v>Resource/status, storage, fabric health, config compliance, endpoint/vPC counts, deployment status, and reused device/interface metrics.</x:v>
      </x:c>
      <x:c r="J68" s="12" t="n">
        <x:f>IF($C68=1,$E68*MAX(1,$G68)*$H68,0)</x:f>
        <x:v>0</x:v>
      </x:c>
      <x:c r="K68" s="12" t="n">
        <x:f>$J68*(60/'Start Here'!$B$6)</x:f>
        <x:v>0</x:v>
      </x:c>
      <x:c r="L68" s="12" t="n">
        <x:f>$K68*60*24</x:f>
        <x:v>0</x:v>
      </x:c>
      <x:c r="M68" s="12" t="n">
        <x:f>$L68*'Start Here'!$B$7</x:f>
        <x:v>0</x:v>
      </x:c>
    </x:row>
    <x:row r="69">
      <x:c r="A69" s="2" t="str">
        <x:v>Nexus Dashboard</x:v>
      </x:c>
      <x:c r="B69" s="2" t="str">
        <x:v>Insights anomalies</x:v>
      </x:c>
      <x:c r="C69" s="11" t="n">
        <x:v>0</x:v>
      </x:c>
      <x:c r="D69" s="12" t="str">
        <x:v>active anomalies</x:v>
      </x:c>
      <x:c r="E69" s="11" t="n">
        <x:v>200</x:v>
      </x:c>
      <x:c r="F69" s="12" t="str">
        <x:v>severity/status combos</x:v>
      </x:c>
      <x:c r="G69" s="11" t="n">
        <x:v>2</x:v>
      </x:c>
      <x:c r="H69" s="11" t="n">
        <x:v>1</x:v>
      </x:c>
      <x:c r="I69" s="2" t="str">
        <x:v>Insights anomaly/advisory active and count metrics by site, fabric, severity, category, and status.</x:v>
      </x:c>
      <x:c r="J69" s="12" t="n">
        <x:f>IF($C69=1,$E69*MAX(1,$G69)*$H69,0)</x:f>
        <x:v>0</x:v>
      </x:c>
      <x:c r="K69" s="12" t="n">
        <x:f>$J69*(60/'Start Here'!$B$6)</x:f>
        <x:v>0</x:v>
      </x:c>
      <x:c r="L69" s="12" t="n">
        <x:f>$K69*60*24</x:f>
        <x:v>0</x:v>
      </x:c>
      <x:c r="M69" s="12" t="n">
        <x:f>$L69*'Start Here'!$B$7</x:f>
        <x:v>0</x:v>
      </x:c>
    </x:row>
    <x:row r="70">
      <x:c r="A70" s="2" t="str">
        <x:v>Nexus Dashboard</x:v>
      </x:c>
      <x:c r="B70" s="2" t="str">
        <x:v>Orchestrator and Data Broker</x:v>
      </x:c>
      <x:c r="C70" s="11" t="n">
        <x:v>0</x:v>
      </x:c>
      <x:c r="D70" s="12" t="str">
        <x:v>services/policies/rules</x:v>
      </x:c>
      <x:c r="E70" s="11" t="n">
        <x:v>200</x:v>
      </x:c>
      <x:c r="F70" s="12" t="str">
        <x:v>status/count metrics</x:v>
      </x:c>
      <x:c r="G70" s="11" t="n">
        <x:v>3</x:v>
      </x:c>
      <x:c r="H70" s="11" t="n">
        <x:v>1</x:v>
      </x:c>
      <x:c r="I70" s="2" t="str">
        <x:v>NDO/OneManage deployment and policy drift plus Data Broker rule/session/status counts.</x:v>
      </x:c>
      <x:c r="J70" s="12" t="n">
        <x:f>IF($C70=1,$E70*MAX(1,$G70)*$H70,0)</x:f>
        <x:v>0</x:v>
      </x:c>
      <x:c r="K70" s="12" t="n">
        <x:f>$J70*(60/'Start Here'!$B$6)</x:f>
        <x:v>0</x:v>
      </x:c>
      <x:c r="L70" s="12" t="n">
        <x:f>$K70*60*24</x:f>
        <x:v>0</x:v>
      </x:c>
      <x:c r="M70" s="12" t="n">
        <x:f>$L70*'Start Here'!$B$7</x:f>
        <x:v>0</x:v>
      </x:c>
    </x:row>
    <x:row r="71">
      <x:c r="A71" s="2" t="str">
        <x:v>ACI</x:v>
      </x:c>
      <x:c r="B71" s="2" t="str">
        <x:v>APIC API and scrape health</x:v>
      </x:c>
      <x:c r="C71" s="11" t="n">
        <x:v>0</x:v>
      </x:c>
      <x:c r="D71" s="12" t="str">
        <x:v>APIC controllers</x:v>
      </x:c>
      <x:c r="E71" s="11" t="n">
        <x:v>3</x:v>
      </x:c>
      <x:c r="F71" s="12" t="str">
        <x:v>API endpoint families</x:v>
      </x:c>
      <x:c r="G71" s="11" t="n">
        <x:v>10</x:v>
      </x:c>
      <x:c r="H71" s="11" t="n">
        <x:v>4</x:v>
      </x:c>
      <x:c r="I71" s="2" t="str">
        <x:v>APIC controller availability, endpoint errors, API duration/errors/rate limits, partial success, and last success.</x:v>
      </x:c>
      <x:c r="J71" s="12" t="n">
        <x:f>IF($C71=1,$E71*MAX(1,$G71)*$H71,0)</x:f>
        <x:v>0</x:v>
      </x:c>
      <x:c r="K71" s="12" t="n">
        <x:f>$J71*(60/'Start Here'!$B$6)</x:f>
        <x:v>0</x:v>
      </x:c>
      <x:c r="L71" s="12" t="n">
        <x:f>$K71*60*24</x:f>
        <x:v>0</x:v>
      </x:c>
      <x:c r="M71" s="12" t="n">
        <x:f>$L71*'Start Here'!$B$7</x:f>
        <x:v>0</x:v>
      </x:c>
    </x:row>
    <x:row r="72">
      <x:c r="A72" s="2" t="str">
        <x:v>ACI</x:v>
      </x:c>
      <x:c r="B72" s="2" t="str">
        <x:v>Fabric resources and faults</x:v>
      </x:c>
      <x:c r="C72" s="11" t="n">
        <x:v>0</x:v>
      </x:c>
      <x:c r="D72" s="12" t="str">
        <x:v>fabric objects</x:v>
      </x:c>
      <x:c r="E72" s="11" t="n">
        <x:v>1000</x:v>
      </x:c>
      <x:c r="F72" s="12" t="str">
        <x:v>status/fault dimensions</x:v>
      </x:c>
      <x:c r="G72" s="11" t="n">
        <x:v>3</x:v>
      </x:c>
      <x:c r="H72" s="11" t="n">
        <x:v>1</x:v>
      </x:c>
      <x:c r="I72" s="2" t="str">
        <x:v>Managed-object metadata/status/counts, fabric health, node availability, and active fault metrics.</x:v>
      </x:c>
      <x:c r="J72" s="12" t="n">
        <x:f>IF($C72=1,$E72*MAX(1,$G72)*$H72,0)</x:f>
        <x:v>0</x:v>
      </x:c>
      <x:c r="K72" s="12" t="n">
        <x:f>$J72*(60/'Start Here'!$B$6)</x:f>
        <x:v>0</x:v>
      </x:c>
      <x:c r="L72" s="12" t="n">
        <x:f>$K72*60*24</x:f>
        <x:v>0</x:v>
      </x:c>
      <x:c r="M72" s="12" t="n">
        <x:f>$L72*'Start Here'!$B$7</x:f>
        <x:v>0</x:v>
      </x:c>
    </x:row>
    <x:row r="73">
      <x:c r="A73" s="2" t="str">
        <x:v>ACI</x:v>
      </x:c>
      <x:c r="B73" s="2" t="str">
        <x:v>Endpoints and tenant objects</x:v>
      </x:c>
      <x:c r="C73" s="11" t="n">
        <x:v>0</x:v>
      </x:c>
      <x:c r="D73" s="12" t="str">
        <x:v>endpoints / tenant objects</x:v>
      </x:c>
      <x:c r="E73" s="11" t="n">
        <x:v>1000</x:v>
      </x:c>
      <x:c r="F73" s="12" t="str">
        <x:v>EPG/VRF/BD/status combos</x:v>
      </x:c>
      <x:c r="G73" s="11" t="n">
        <x:v>2</x:v>
      </x:c>
      <x:c r="H73" s="11" t="n">
        <x:v>1</x:v>
      </x:c>
      <x:c r="I73" s="2" t="str">
        <x:v>Endpoint presence/count and tenant/VRF/bridge-domain/EPG object status/count metrics.</x:v>
      </x:c>
      <x:c r="J73" s="12" t="n">
        <x:f>IF($C73=1,$E73*MAX(1,$G73)*$H73,0)</x:f>
        <x:v>0</x:v>
      </x:c>
      <x:c r="K73" s="12" t="n">
        <x:f>$J73*(60/'Start Here'!$B$6)</x:f>
        <x:v>0</x:v>
      </x:c>
      <x:c r="L73" s="12" t="n">
        <x:f>$K73*60*24</x:f>
        <x:v>0</x:v>
      </x:c>
      <x:c r="M73" s="12" t="n">
        <x:f>$L73*'Start Here'!$B$7</x:f>
        <x:v>0</x:v>
      </x:c>
    </x:row>
    <x:row r="74">
      <x:c r="A74" s="2" t="str">
        <x:v>ACI</x:v>
      </x:c>
      <x:c r="B74" s="2" t="str">
        <x:v>Topology and interface symptoms</x:v>
      </x:c>
      <x:c r="C74" s="11" t="n">
        <x:v>0</x:v>
      </x:c>
      <x:c r="D74" s="12" t="str">
        <x:v>nodes/interfaces</x:v>
      </x:c>
      <x:c r="E74" s="11" t="n">
        <x:v>500</x:v>
      </x:c>
      <x:c r="F74" s="12" t="str">
        <x:v>interface/topology metrics</x:v>
      </x:c>
      <x:c r="G74" s="11" t="n">
        <x:v>3</x:v>
      </x:c>
      <x:c r="H74" s="11" t="n">
        <x:v>1</x:v>
      </x:c>
      <x:c r="I74" s="2" t="str">
        <x:v>Interface operational status, traffic/drop rate, packet rate, and topology neighbor information from APIC data.</x:v>
      </x:c>
      <x:c r="J74" s="12" t="n">
        <x:f>IF($C74=1,$E74*MAX(1,$G74)*$H74,0)</x:f>
        <x:v>0</x:v>
      </x:c>
      <x:c r="K74" s="12" t="n">
        <x:f>$J74*(60/'Start Here'!$B$6)</x:f>
        <x:v>0</x:v>
      </x:c>
      <x:c r="L74" s="12" t="n">
        <x:f>$K74*60*24</x:f>
        <x:v>0</x:v>
      </x:c>
      <x:c r="M74" s="12" t="n">
        <x:f>$L74*'Start Here'!$B$7</x:f>
        <x:v>0</x:v>
      </x:c>
    </x:row>
    <x:row r="75">
      <x:c r="A75" s="2" t="str">
        <x:v>FMC</x:v>
      </x:c>
      <x:c r="B75" s="2" t="str">
        <x:v>REST API and scrape health</x:v>
      </x:c>
      <x:c r="C75" s="11" t="n">
        <x:v>0</x:v>
      </x:c>
      <x:c r="D75" s="12" t="str">
        <x:v>FMC controllers</x:v>
      </x:c>
      <x:c r="E75" s="11" t="n">
        <x:v>2</x:v>
      </x:c>
      <x:c r="F75" s="12" t="str">
        <x:v>API endpoint families</x:v>
      </x:c>
      <x:c r="G75" s="11" t="n">
        <x:v>14</x:v>
      </x:c>
      <x:c r="H75" s="11" t="n">
        <x:v>3</x:v>
      </x:c>
      <x:c r="I75" s="2" t="str">
        <x:v>FMC manager up, endpoint errors, API duration/errors/rate limits, partial success, and last success.</x:v>
      </x:c>
      <x:c r="J75" s="12" t="n">
        <x:f>IF($C75=1,$E75*MAX(1,$G75)*$H75,0)</x:f>
        <x:v>0</x:v>
      </x:c>
      <x:c r="K75" s="12" t="n">
        <x:f>$J75*(60/'Start Here'!$B$6)</x:f>
        <x:v>0</x:v>
      </x:c>
      <x:c r="L75" s="12" t="n">
        <x:f>$K75*60*24</x:f>
        <x:v>0</x:v>
      </x:c>
      <x:c r="M75" s="12" t="n">
        <x:f>$L75*'Start Here'!$B$7</x:f>
        <x:v>0</x:v>
      </x:c>
    </x:row>
    <x:row r="76">
      <x:c r="A76" s="2" t="str">
        <x:v>FMC</x:v>
      </x:c>
      <x:c r="B76" s="2" t="str">
        <x:v>Managed firewall inventory and status</x:v>
      </x:c>
      <x:c r="C76" s="11" t="n">
        <x:v>0</x:v>
      </x:c>
      <x:c r="D76" s="12" t="str">
        <x:v>managed firewalls</x:v>
      </x:c>
      <x:c r="E76" s="11" t="n">
        <x:v>100</x:v>
      </x:c>
      <x:c r="F76" s="12" t="str">
        <x:v>per firewall</x:v>
      </x:c>
      <x:c r="G76" s="11" t="n">
        <x:v>1</x:v>
      </x:c>
      <x:c r="H76" s="11" t="n">
        <x:v>4</x:v>
      </x:c>
      <x:c r="I76" s="2" t="str">
        <x:v>Managed object metadata, resource status, FMC-managed firewall availability, and device-up parity.</x:v>
      </x:c>
      <x:c r="J76" s="12" t="n">
        <x:f>IF($C76=1,$E76*MAX(1,$G76)*$H76,0)</x:f>
        <x:v>0</x:v>
      </x:c>
      <x:c r="K76" s="12" t="n">
        <x:f>$J76*(60/'Start Here'!$B$6)</x:f>
        <x:v>0</x:v>
      </x:c>
      <x:c r="L76" s="12" t="n">
        <x:f>$K76*60*24</x:f>
        <x:v>0</x:v>
      </x:c>
      <x:c r="M76" s="12" t="n">
        <x:f>$L76*'Start Here'!$B$7</x:f>
        <x:v>0</x:v>
      </x:c>
    </x:row>
    <x:row r="77">
      <x:c r="A77" s="2" t="str">
        <x:v>FMC</x:v>
      </x:c>
      <x:c r="B77" s="2" t="str">
        <x:v>Interfaces, HA, VPN, and health</x:v>
      </x:c>
      <x:c r="C77" s="11" t="n">
        <x:v>0</x:v>
      </x:c>
      <x:c r="D77" s="12" t="str">
        <x:v>managed firewalls</x:v>
      </x:c>
      <x:c r="E77" s="11" t="n">
        <x:v>100</x:v>
      </x:c>
      <x:c r="F77" s="12" t="str">
        <x:v>interfaces/tunnels / firewall</x:v>
      </x:c>
      <x:c r="G77" s="11" t="n">
        <x:v>12</x:v>
      </x:c>
      <x:c r="H77" s="11" t="n">
        <x:v>4</x:v>
      </x:c>
      <x:c r="I77" s="2" t="str">
        <x:v>Interface, VPN, HA, and health status/count metrics scoped to managed firewalls.</x:v>
      </x:c>
      <x:c r="J77" s="12" t="n">
        <x:f>IF($C77=1,$E77*MAX(1,$G77)*$H77,0)</x:f>
        <x:v>0</x:v>
      </x:c>
      <x:c r="K77" s="12" t="n">
        <x:f>$J77*(60/'Start Here'!$B$6)</x:f>
        <x:v>0</x:v>
      </x:c>
      <x:c r="L77" s="12" t="n">
        <x:f>$K77*60*24</x:f>
        <x:v>0</x:v>
      </x:c>
      <x:c r="M77" s="12" t="n">
        <x:f>$L77*'Start Here'!$B$7</x:f>
        <x:v>0</x:v>
      </x:c>
    </x:row>
    <x:row r="78">
      <x:c r="A78" s="2" t="str">
        <x:v>FMC</x:v>
      </x:c>
      <x:c r="B78" s="2" t="str">
        <x:v>Policy and deployment state</x:v>
      </x:c>
      <x:c r="C78" s="11" t="n">
        <x:v>0</x:v>
      </x:c>
      <x:c r="D78" s="12" t="str">
        <x:v>policies/deployments</x:v>
      </x:c>
      <x:c r="E78" s="11" t="n">
        <x:v>200</x:v>
      </x:c>
      <x:c r="F78" s="12" t="str">
        <x:v>status metrics / object</x:v>
      </x:c>
      <x:c r="G78" s="11" t="n">
        <x:v>3</x:v>
      </x:c>
      <x:c r="H78" s="11" t="n">
        <x:v>1</x:v>
      </x:c>
      <x:c r="I78" s="2" t="str">
        <x:v>Access policies, NAT/prefilter objects, deployments, and status/count metrics.</x:v>
      </x:c>
      <x:c r="J78" s="12" t="n">
        <x:f>IF($C78=1,$E78*MAX(1,$G78)*$H78,0)</x:f>
        <x:v>0</x:v>
      </x:c>
      <x:c r="K78" s="12" t="n">
        <x:f>$J78*(60/'Start Here'!$B$6)</x:f>
        <x:v>0</x:v>
      </x:c>
      <x:c r="L78" s="12" t="n">
        <x:f>$K78*60*24</x:f>
        <x:v>0</x:v>
      </x:c>
      <x:c r="M78" s="12" t="n">
        <x:f>$L78*'Start Here'!$B$7</x:f>
        <x:v>0</x:v>
      </x:c>
    </x:row>
    <x:row r="79">
      <x:c r="A79" s="2" t="str">
        <x:v>FMC</x:v>
      </x:c>
      <x:c r="B79" s="2" t="str">
        <x:v>Audit and security event counts</x:v>
      </x:c>
      <x:c r="C79" s="11" t="n">
        <x:v>0</x:v>
      </x:c>
      <x:c r="D79" s="12" t="str">
        <x:v>active/recent records</x:v>
      </x:c>
      <x:c r="E79" s="11" t="n">
        <x:v>500</x:v>
      </x:c>
      <x:c r="F79" s="12" t="str">
        <x:v>per record</x:v>
      </x:c>
      <x:c r="G79" s="11" t="n">
        <x:v>1</x:v>
      </x:c>
      <x:c r="H79" s="11" t="n">
        <x:v>2</x:v>
      </x:c>
      <x:c r="I79" s="2" t="str">
        <x:v>Audit and security-event count metrics. eStreamer event bodies are emitted as logs, not metric datapoints.</x:v>
      </x:c>
      <x:c r="J79" s="12" t="n">
        <x:f>IF($C79=1,$E79*MAX(1,$G79)*$H79,0)</x:f>
        <x:v>0</x:v>
      </x:c>
      <x:c r="K79" s="12" t="n">
        <x:f>$J79*(60/'Start Here'!$B$6)</x:f>
        <x:v>0</x:v>
      </x:c>
      <x:c r="L79" s="12" t="n">
        <x:f>$K79*60*24</x:f>
        <x:v>0</x:v>
      </x:c>
      <x:c r="M79" s="12" t="n">
        <x:f>$L79*'Start Here'!$B$7</x:f>
        <x:v>0</x:v>
      </x:c>
    </x:row>
    <x:row r="80">
      <x:c r="A80" s="2" t="str">
        <x:v>FMC</x:v>
      </x:c>
      <x:c r="B80" s="2" t="str">
        <x:v>eStreamer receiver health</x:v>
      </x:c>
      <x:c r="C80" s="11" t="n">
        <x:v>0</x:v>
      </x:c>
      <x:c r="D80" s="12" t="str">
        <x:v>eStreamer targets</x:v>
      </x:c>
      <x:c r="E80" s="11" t="n">
        <x:v>2</x:v>
      </x:c>
      <x:c r="F80" s="12" t="str">
        <x:v>event types</x:v>
      </x:c>
      <x:c r="G80" s="11" t="n">
        <x:v>4</x:v>
      </x:c>
      <x:c r="H80" s="11" t="n">
        <x:v>2</x:v>
      </x:c>
      <x:c r="I80" s="2" t="str">
        <x:v>Connection, intrusion, intrusion packet, and file event stream health assumptions; event payload volume is log-oriented.</x:v>
      </x:c>
      <x:c r="J80" s="12" t="n">
        <x:f>IF($C80=1,$E80*MAX(1,$G80)*$H80,0)</x:f>
        <x:v>0</x:v>
      </x:c>
      <x:c r="K80" s="12" t="n">
        <x:f>$J80*(60/'Start Here'!$B$6)</x:f>
        <x:v>0</x:v>
      </x:c>
      <x:c r="L80" s="12" t="n">
        <x:f>$K80*60*24</x:f>
        <x:v>0</x:v>
      </x:c>
      <x:c r="M80" s="12" t="n">
        <x:f>$L80*'Start Here'!$B$7</x:f>
        <x:v>0</x:v>
      </x:c>
    </x:row>
    <x:row r="81">
      <x:c r="A81" s="2" t="str">
        <x:v>ISE</x:v>
      </x:c>
      <x:c r="B81" s="2" t="str">
        <x:v>API, scrape, and Data Connect health</x:v>
      </x:c>
      <x:c r="C81" s="11" t="n">
        <x:v>0</x:v>
      </x:c>
      <x:c r="D81" s="12" t="str">
        <x:v>ISE targets</x:v>
      </x:c>
      <x:c r="E81" s="11" t="n">
        <x:v>1</x:v>
      </x:c>
      <x:c r="F81" s="12" t="str">
        <x:v>endpoint/query families</x:v>
      </x:c>
      <x:c r="G81" s="11" t="n">
        <x:v>32</x:v>
      </x:c>
      <x:c r="H81" s="11" t="n">
        <x:v>3</x:v>
      </x:c>
      <x:c r="I81" s="2" t="str">
        <x:v>ISE API request duration/errors/rate limits, Data Connect query duration/rows/errors, partial success, and last success.</x:v>
      </x:c>
      <x:c r="J81" s="12" t="n">
        <x:f>IF($C81=1,$E81*MAX(1,$G81)*$H81,0)</x:f>
        <x:v>0</x:v>
      </x:c>
      <x:c r="K81" s="12" t="n">
        <x:f>$J81*(60/'Start Here'!$B$6)</x:f>
        <x:v>0</x:v>
      </x:c>
      <x:c r="L81" s="12" t="n">
        <x:f>$K81*60*24</x:f>
        <x:v>0</x:v>
      </x:c>
      <x:c r="M81" s="12" t="n">
        <x:f>$L81*'Start Here'!$B$7</x:f>
        <x:v>0</x:v>
      </x:c>
    </x:row>
    <x:row r="82">
      <x:c r="A82" s="2" t="str">
        <x:v>ISE</x:v>
      </x:c>
      <x:c r="B82" s="2" t="str">
        <x:v>Deployment nodes and services</x:v>
      </x:c>
      <x:c r="C82" s="11" t="n">
        <x:v>0</x:v>
      </x:c>
      <x:c r="D82" s="12" t="str">
        <x:v>ISE nodes</x:v>
      </x:c>
      <x:c r="E82" s="11" t="n">
        <x:v>6</x:v>
      </x:c>
      <x:c r="F82" s="12" t="str">
        <x:v>persona/service metrics</x:v>
      </x:c>
      <x:c r="G82" s="11" t="n">
        <x:v>4</x:v>
      </x:c>
      <x:c r="H82" s="11" t="n">
        <x:v>4</x:v>
      </x:c>
      <x:c r="I82" s="2" t="str">
        <x:v>Controller up, deployment node/persona status, service unavailable/skipped, and endpoint scrape errors.</x:v>
      </x:c>
      <x:c r="J82" s="12" t="n">
        <x:f>IF($C82=1,$E82*MAX(1,$G82)*$H82,0)</x:f>
        <x:v>0</x:v>
      </x:c>
      <x:c r="K82" s="12" t="n">
        <x:f>$J82*(60/'Start Here'!$B$6)</x:f>
        <x:v>0</x:v>
      </x:c>
      <x:c r="L82" s="12" t="n">
        <x:f>$K82*60*24</x:f>
        <x:v>0</x:v>
      </x:c>
      <x:c r="M82" s="12" t="n">
        <x:f>$L82*'Start Here'!$B$7</x:f>
        <x:v>0</x:v>
      </x:c>
    </x:row>
    <x:row r="83">
      <x:c r="A83" s="2" t="str">
        <x:v>ISE</x:v>
      </x:c>
      <x:c r="B83" s="2" t="str">
        <x:v>Network devices</x:v>
      </x:c>
      <x:c r="C83" s="11" t="n">
        <x:v>0</x:v>
      </x:c>
      <x:c r="D83" s="12" t="str">
        <x:v>network devices</x:v>
      </x:c>
      <x:c r="E83" s="11" t="n">
        <x:v>500</x:v>
      </x:c>
      <x:c r="F83" s="12" t="str">
        <x:v>per device</x:v>
      </x:c>
      <x:c r="G83" s="11" t="n">
        <x:v>1</x:v>
      </x:c>
      <x:c r="H83" s="11" t="n">
        <x:v>3</x:v>
      </x:c>
      <x:c r="I83" s="2" t="str">
        <x:v>Network access device resource info/status/counts.</x:v>
      </x:c>
      <x:c r="J83" s="12" t="n">
        <x:f>IF($C83=1,$E83*MAX(1,$G83)*$H83,0)</x:f>
        <x:v>0</x:v>
      </x:c>
      <x:c r="K83" s="12" t="n">
        <x:f>$J83*(60/'Start Here'!$B$6)</x:f>
        <x:v>0</x:v>
      </x:c>
      <x:c r="L83" s="12" t="n">
        <x:f>$K83*60*24</x:f>
        <x:v>0</x:v>
      </x:c>
      <x:c r="M83" s="12" t="n">
        <x:f>$L83*'Start Here'!$B$7</x:f>
        <x:v>0</x:v>
      </x:c>
    </x:row>
    <x:row r="84">
      <x:c r="A84" s="2" t="str">
        <x:v>ISE</x:v>
      </x:c>
      <x:c r="B84" s="2" t="str">
        <x:v>Endpoints and sessions</x:v>
      </x:c>
      <x:c r="C84" s="11" t="n">
        <x:v>0</x:v>
      </x:c>
      <x:c r="D84" s="12" t="str">
        <x:v>endpoints/sessions</x:v>
      </x:c>
      <x:c r="E84" s="11" t="n">
        <x:v>5000</x:v>
      </x:c>
      <x:c r="F84" s="12" t="str">
        <x:v>state metrics / object</x:v>
      </x:c>
      <x:c r="G84" s="11" t="n">
        <x:v>1</x:v>
      </x:c>
      <x:c r="H84" s="11" t="n">
        <x:v>3</x:v>
      </x:c>
      <x:c r="I84" s="2" t="str">
        <x:v>Endpoint status, active session count, posture status, and session evidence.</x:v>
      </x:c>
      <x:c r="J84" s="12" t="n">
        <x:f>IF($C84=1,$E84*MAX(1,$G84)*$H84,0)</x:f>
        <x:v>0</x:v>
      </x:c>
      <x:c r="K84" s="12" t="n">
        <x:f>$J84*(60/'Start Here'!$B$6)</x:f>
        <x:v>0</x:v>
      </x:c>
      <x:c r="L84" s="12" t="n">
        <x:f>$K84*60*24</x:f>
        <x:v>0</x:v>
      </x:c>
      <x:c r="M84" s="12" t="n">
        <x:f>$L84*'Start Here'!$B$7</x:f>
        <x:v>0</x:v>
      </x:c>
    </x:row>
    <x:row r="85">
      <x:c r="A85" s="2" t="str">
        <x:v>ISE</x:v>
      </x:c>
      <x:c r="B85" s="2" t="str">
        <x:v>Auth, accounting, posture, profiler, and TrustSec</x:v>
      </x:c>
      <x:c r="C85" s="11" t="n">
        <x:v>0</x:v>
      </x:c>
      <x:c r="D85" s="12" t="str">
        <x:v>active/recent records</x:v>
      </x:c>
      <x:c r="E85" s="11" t="n">
        <x:v>5000</x:v>
      </x:c>
      <x:c r="F85" s="12" t="str">
        <x:v>per record</x:v>
      </x:c>
      <x:c r="G85" s="11" t="n">
        <x:v>1</x:v>
      </x:c>
      <x:c r="H85" s="11" t="n">
        <x:v>2</x:v>
      </x:c>
      <x:c r="I85" s="2" t="str">
        <x:v>Authentication failures, accounting, posture, profiler, TrustSec, alarms, and related count/status metrics.</x:v>
      </x:c>
      <x:c r="J85" s="12" t="n">
        <x:f>IF($C85=1,$E85*MAX(1,$G85)*$H85,0)</x:f>
        <x:v>0</x:v>
      </x:c>
      <x:c r="K85" s="12" t="n">
        <x:f>$J85*(60/'Start Here'!$B$6)</x:f>
        <x:v>0</x:v>
      </x:c>
      <x:c r="L85" s="12" t="n">
        <x:f>$K85*60*24</x:f>
        <x:v>0</x:v>
      </x:c>
      <x:c r="M85" s="12" t="n">
        <x:f>$L85*'Start Here'!$B$7</x:f>
        <x:v>0</x:v>
      </x:c>
    </x:row>
    <x:row r="86">
      <x:c r="A86" s="2" t="str">
        <x:v>ISE</x:v>
      </x:c>
      <x:c r="B86" s="2" t="str">
        <x:v>Policy, certificates, licensing, and webhooks</x:v>
      </x:c>
      <x:c r="C86" s="11" t="n">
        <x:v>0</x:v>
      </x:c>
      <x:c r="D86" s="12" t="str">
        <x:v>policy/resources</x:v>
      </x:c>
      <x:c r="E86" s="11" t="n">
        <x:v>1000</x:v>
      </x:c>
      <x:c r="F86" s="12" t="str">
        <x:v>status metrics / object</x:v>
      </x:c>
      <x:c r="G86" s="11" t="n">
        <x:v>2</x:v>
      </x:c>
      <x:c r="H86" s="11" t="n">
        <x:v>1</x:v>
      </x:c>
      <x:c r="I86" s="2" t="str">
        <x:v>Policy status, certificate expiration, license status, webhooks, and aggregated counts.</x:v>
      </x:c>
      <x:c r="J86" s="12" t="n">
        <x:f>IF($C86=1,$E86*MAX(1,$G86)*$H86,0)</x:f>
        <x:v>0</x:v>
      </x:c>
      <x:c r="K86" s="12" t="n">
        <x:f>$J86*(60/'Start Here'!$B$6)</x:f>
        <x:v>0</x:v>
      </x:c>
      <x:c r="L86" s="12" t="n">
        <x:f>$K86*60*24</x:f>
        <x:v>0</x:v>
      </x:c>
      <x:c r="M86" s="12" t="n">
        <x:f>$L86*'Start Here'!$B$7</x:f>
        <x:v>0</x:v>
      </x:c>
    </x:row>
    <x:row r="87">
      <x:c r="A87" s="2" t="str">
        <x:v>ISE</x:v>
      </x:c>
      <x:c r="B87" s="2" t="str">
        <x:v>pxGrid services and subscriptions</x:v>
      </x:c>
      <x:c r="C87" s="11" t="n">
        <x:v>0</x:v>
      </x:c>
      <x:c r="D87" s="12" t="str">
        <x:v>pxGrid services/topics</x:v>
      </x:c>
      <x:c r="E87" s="11" t="n">
        <x:v>12</x:v>
      </x:c>
      <x:c r="F87" s="12" t="str">
        <x:v>per service/topic</x:v>
      </x:c>
      <x:c r="G87" s="11" t="n">
        <x:v>1</x:v>
      </x:c>
      <x:c r="H87" s="11" t="n">
        <x:v>2</x:v>
      </x:c>
      <x:c r="I87" s="2" t="str">
        <x:v>pxGrid service lookup status, configured subscriptions, and pxGrid REST query objects.</x:v>
      </x:c>
      <x:c r="J87" s="12" t="n">
        <x:f>IF($C87=1,$E87*MAX(1,$G87)*$H87,0)</x:f>
        <x:v>0</x:v>
      </x:c>
      <x:c r="K87" s="12" t="n">
        <x:f>$J87*(60/'Start Here'!$B$6)</x:f>
        <x:v>0</x:v>
      </x:c>
      <x:c r="L87" s="12" t="n">
        <x:f>$K87*60*24</x:f>
        <x:v>0</x:v>
      </x:c>
      <x:c r="M87" s="12" t="n">
        <x:f>$L87*'Start Here'!$B$7</x:f>
        <x:v>0</x:v>
      </x:c>
    </x:row>
    <x:row r="88">
      <x:c r="A88" s="2" t="str">
        <x:v>ISE</x:v>
      </x:c>
      <x:c r="B88" s="2" t="str">
        <x:v>Data Connect read-only views</x:v>
      </x:c>
      <x:c r="C88" s="11" t="n">
        <x:v>0</x:v>
      </x:c>
      <x:c r="D88" s="12" t="str">
        <x:v>Data Connect rows</x:v>
      </x:c>
      <x:c r="E88" s="11" t="n">
        <x:v>5000</x:v>
      </x:c>
      <x:c r="F88" s="12" t="str">
        <x:v>per row</x:v>
      </x:c>
      <x:c r="G88" s="11" t="n">
        <x:v>1</x:v>
      </x:c>
      <x:c r="H88" s="11" t="n">
        <x:v>2</x:v>
      </x:c>
      <x:c r="I88" s="2" t="str">
        <x:v>Read-only view rows across node, network device, policy, TACACS/RADIUS, posture, profiler, threat, and identity-group views.</x:v>
      </x:c>
      <x:c r="J88" s="12" t="n">
        <x:f>IF($C88=1,$E88*MAX(1,$G88)*$H88,0)</x:f>
        <x:v>0</x:v>
      </x:c>
      <x:c r="K88" s="12" t="n">
        <x:f>$J88*(60/'Start Here'!$B$6)</x:f>
        <x:v>0</x:v>
      </x:c>
      <x:c r="L88" s="12" t="n">
        <x:f>$K88*60*24</x:f>
        <x:v>0</x:v>
      </x:c>
      <x:c r="M88" s="12" t="n">
        <x:f>$L88*'Start Here'!$B$7</x:f>
        <x:v>0</x:v>
      </x:c>
    </x:row>
    <x:row r="89">
      <x:c r="A89" s="2" t="str">
        <x:v>IOS XR</x:v>
      </x:c>
      <x:c r="B89" s="2" t="str">
        <x:v>Receiver and gNMI/MDT health</x:v>
      </x:c>
      <x:c r="C89" s="11" t="n">
        <x:v>0</x:v>
      </x:c>
      <x:c r="D89" s="12" t="str">
        <x:v>IOS XR targets</x:v>
      </x:c>
      <x:c r="E89" s="11" t="n">
        <x:v>10</x:v>
      </x:c>
      <x:c r="F89" s="12" t="str">
        <x:v>subscriptions / target</x:v>
      </x:c>
      <x:c r="G89" s="11" t="n">
        <x:v>4</x:v>
      </x:c>
      <x:c r="H89" s="11" t="n">
        <x:v>8</x:v>
      </x:c>
      <x:c r="I89" s="2" t="str">
        <x:v>Receiver active subscriptions, updates, decode errors, unsupported paths, reconnects, dropped datapoints, compact GPB payloads, and last success.</x:v>
      </x:c>
      <x:c r="J89" s="12" t="n">
        <x:f>IF($C89=1,$E89*MAX(1,$G89)*$H89,0)</x:f>
        <x:v>0</x:v>
      </x:c>
      <x:c r="K89" s="12" t="n">
        <x:f>$J89*(60/'Start Here'!$B$6)</x:f>
        <x:v>0</x:v>
      </x:c>
      <x:c r="L89" s="12" t="n">
        <x:f>$K89*60*24</x:f>
        <x:v>0</x:v>
      </x:c>
      <x:c r="M89" s="12" t="n">
        <x:f>$L89*'Start Here'!$B$7</x:f>
        <x:v>0</x:v>
      </x:c>
    </x:row>
    <x:row r="90">
      <x:c r="A90" s="2" t="str">
        <x:v>IOS XR</x:v>
      </x:c>
      <x:c r="B90" s="2" t="str">
        <x:v>System, platform, and environment</x:v>
      </x:c>
      <x:c r="C90" s="11" t="n">
        <x:v>0</x:v>
      </x:c>
      <x:c r="D90" s="12" t="str">
        <x:v>IOS XR devices</x:v>
      </x:c>
      <x:c r="E90" s="11" t="n">
        <x:v>10</x:v>
      </x:c>
      <x:c r="F90" s="12" t="str">
        <x:v>nodes/components / device</x:v>
      </x:c>
      <x:c r="G90" s="11" t="n">
        <x:v>40</x:v>
      </x:c>
      <x:c r="H90" s="11" t="n">
        <x:v>6</x:v>
      </x:c>
      <x:c r="I90" s="2" t="str">
        <x:v>CPU, memory, filesystem, platform components/native state, sensors, and alarms.</x:v>
      </x:c>
      <x:c r="J90" s="12" t="n">
        <x:f>IF($C90=1,$E90*MAX(1,$G90)*$H90,0)</x:f>
        <x:v>0</x:v>
      </x:c>
      <x:c r="K90" s="12" t="n">
        <x:f>$J90*(60/'Start Here'!$B$6)</x:f>
        <x:v>0</x:v>
      </x:c>
      <x:c r="L90" s="12" t="n">
        <x:f>$K90*60*24</x:f>
        <x:v>0</x:v>
      </x:c>
      <x:c r="M90" s="12" t="n">
        <x:f>$L90*'Start Here'!$B$7</x:f>
        <x:v>0</x:v>
      </x:c>
    </x:row>
    <x:row r="91">
      <x:c r="A91" s="2" t="str">
        <x:v>IOS XR</x:v>
      </x:c>
      <x:c r="B91" s="2" t="str">
        <x:v>Interfaces and subinterfaces</x:v>
      </x:c>
      <x:c r="C91" s="11" t="n">
        <x:v>0</x:v>
      </x:c>
      <x:c r="D91" s="12" t="str">
        <x:v>IOS XR devices</x:v>
      </x:c>
      <x:c r="E91" s="11" t="n">
        <x:v>10</x:v>
      </x:c>
      <x:c r="F91" s="12" t="str">
        <x:v>interfaces / device</x:v>
      </x:c>
      <x:c r="G91" s="11" t="n">
        <x:v>80</x:v>
      </x:c>
      <x:c r="H91" s="11" t="n">
        <x:v>12</x:v>
      </x:c>
      <x:c r="I91" s="2" t="str">
        <x:v>OpenConfig interface state, native counters/rates, IPv4/IPv6 subinterface state. High-volume.</x:v>
      </x:c>
      <x:c r="J91" s="12" t="n">
        <x:f>IF($C91=1,$E91*MAX(1,$G91)*$H91,0)</x:f>
        <x:v>0</x:v>
      </x:c>
      <x:c r="K91" s="12" t="n">
        <x:f>$J91*(60/'Start Here'!$B$6)</x:f>
        <x:v>0</x:v>
      </x:c>
      <x:c r="L91" s="12" t="n">
        <x:f>$K91*60*24</x:f>
        <x:v>0</x:v>
      </x:c>
      <x:c r="M91" s="12" t="n">
        <x:f>$L91*'Start Here'!$B$7</x:f>
        <x:v>0</x:v>
      </x:c>
    </x:row>
    <x:row r="92">
      <x:c r="A92" s="2" t="str">
        <x:v>IOS XR</x:v>
      </x:c>
      <x:c r="B92" s="2" t="str">
        <x:v>Optics telemetry</x:v>
      </x:c>
      <x:c r="C92" s="11" t="n">
        <x:v>0</x:v>
      </x:c>
      <x:c r="D92" s="12" t="str">
        <x:v>IOS XR devices</x:v>
      </x:c>
      <x:c r="E92" s="11" t="n">
        <x:v>10</x:v>
      </x:c>
      <x:c r="F92" s="12" t="str">
        <x:v>optic ports / device</x:v>
      </x:c>
      <x:c r="G92" s="11" t="n">
        <x:v>40</x:v>
      </x:c>
      <x:c r="H92" s="11" t="n">
        <x:v>8</x:v>
      </x:c>
      <x:c r="I92" s="2" t="str">
        <x:v>Optical transceiver DOM, alarm state, and lane state.</x:v>
      </x:c>
      <x:c r="J92" s="12" t="n">
        <x:f>IF($C92=1,$E92*MAX(1,$G92)*$H92,0)</x:f>
        <x:v>0</x:v>
      </x:c>
      <x:c r="K92" s="12" t="n">
        <x:f>$J92*(60/'Start Here'!$B$6)</x:f>
        <x:v>0</x:v>
      </x:c>
      <x:c r="L92" s="12" t="n">
        <x:f>$K92*60*24</x:f>
        <x:v>0</x:v>
      </x:c>
      <x:c r="M92" s="12" t="n">
        <x:f>$L92*'Start Here'!$B$7</x:f>
        <x:v>0</x:v>
      </x:c>
    </x:row>
    <x:row r="93">
      <x:c r="A93" s="2" t="str">
        <x:v>IOS XR</x:v>
      </x:c>
      <x:c r="B93" s="2" t="str">
        <x:v>Routing, FIB, BGP, ISIS, MPLS, and SR</x:v>
      </x:c>
      <x:c r="C93" s="11" t="n">
        <x:v>0</x:v>
      </x:c>
      <x:c r="D93" s="12" t="str">
        <x:v>IOS XR devices</x:v>
      </x:c>
      <x:c r="E93" s="11" t="n">
        <x:v>10</x:v>
      </x:c>
      <x:c r="F93" s="12" t="str">
        <x:v>neighbors/VRF/protocol combos</x:v>
      </x:c>
      <x:c r="G93" s="11" t="n">
        <x:v>60</x:v>
      </x:c>
      <x:c r="H93" s="11" t="n">
        <x:v>6</x:v>
      </x:c>
      <x:c r="I93" s="2" t="str">
        <x:v>RIB/FIB summaries, BGP/ISIS/MPLS/SR neighbor and policy state.</x:v>
      </x:c>
      <x:c r="J93" s="12" t="n">
        <x:f>IF($C93=1,$E93*MAX(1,$G93)*$H93,0)</x:f>
        <x:v>0</x:v>
      </x:c>
      <x:c r="K93" s="12" t="n">
        <x:f>$J93*(60/'Start Here'!$B$6)</x:f>
        <x:v>0</x:v>
      </x:c>
      <x:c r="L93" s="12" t="n">
        <x:f>$K93*60*24</x:f>
        <x:v>0</x:v>
      </x:c>
      <x:c r="M93" s="12" t="n">
        <x:f>$L93*'Start Here'!$B$7</x:f>
        <x:v>0</x:v>
      </x:c>
    </x:row>
    <x:row r="94">
      <x:c r="A94" s="2" t="str">
        <x:v>IOS XR</x:v>
      </x:c>
      <x:c r="B94" s="2" t="str">
        <x:v>QoS, security policy, and BFD</x:v>
      </x:c>
      <x:c r="C94" s="11" t="n">
        <x:v>0</x:v>
      </x:c>
      <x:c r="D94" s="12" t="str">
        <x:v>IOS XR devices</x:v>
      </x:c>
      <x:c r="E94" s="11" t="n">
        <x:v>10</x:v>
      </x:c>
      <x:c r="F94" s="12" t="str">
        <x:v>policy/session combos</x:v>
      </x:c>
      <x:c r="G94" s="11" t="n">
        <x:v>40</x:v>
      </x:c>
      <x:c r="H94" s="11" t="n">
        <x:v>5</x:v>
      </x:c>
      <x:c r="I94" s="2" t="str">
        <x:v>QoS/PBR policy-map stats, interface QoS, ACL/FlowSpec, and BFD sessions.</x:v>
      </x:c>
      <x:c r="J94" s="12" t="n">
        <x:f>IF($C94=1,$E94*MAX(1,$G94)*$H94,0)</x:f>
        <x:v>0</x:v>
      </x:c>
      <x:c r="K94" s="12" t="n">
        <x:f>$J94*(60/'Start Here'!$B$6)</x:f>
        <x:v>0</x:v>
      </x:c>
      <x:c r="L94" s="12" t="n">
        <x:f>$K94*60*24</x:f>
        <x:v>0</x:v>
      </x:c>
      <x:c r="M94" s="12" t="n">
        <x:f>$L94*'Start Here'!$B$7</x:f>
        <x:v>0</x:v>
      </x:c>
    </x:row>
    <x:row r="95">
      <x:c r="A95" s="2" t="str">
        <x:v>IOS XR</x:v>
      </x:c>
      <x:c r="B95" s="2" t="str">
        <x:v>Topology, time sync, ASIC, and telemetry self-health</x:v>
      </x:c>
      <x:c r="C95" s="11" t="n">
        <x:v>0</x:v>
      </x:c>
      <x:c r="D95" s="12" t="str">
        <x:v>IOS XR devices</x:v>
      </x:c>
      <x:c r="E95" s="11" t="n">
        <x:v>10</x:v>
      </x:c>
      <x:c r="F95" s="12" t="str">
        <x:v>component/neighbor combos</x:v>
      </x:c>
      <x:c r="G95" s="11" t="n">
        <x:v>24</x:v>
      </x:c>
      <x:c r="H95" s="11" t="n">
        <x:v>4</x:v>
      </x:c>
      <x:c r="I95" s="2" t="str">
        <x:v>LLDP, NTP/PTP, ASIC resources, and telemetry subscription/destination state.</x:v>
      </x:c>
      <x:c r="J95" s="12" t="n">
        <x:f>IF($C95=1,$E95*MAX(1,$G95)*$H95,0)</x:f>
        <x:v>0</x:v>
      </x:c>
      <x:c r="K95" s="12" t="n">
        <x:f>$J95*(60/'Start Here'!$B$6)</x:f>
        <x:v>0</x:v>
      </x:c>
      <x:c r="L95" s="12" t="n">
        <x:f>$K95*60*24</x:f>
        <x:v>0</x:v>
      </x:c>
      <x:c r="M95" s="12" t="n">
        <x:f>$L95*'Start Here'!$B$7</x:f>
        <x:v>0</x:v>
      </x:c>
    </x:row>
    <x:row r="96">
      <x:c r="A96" s="2" t="str">
        <x:v>IOS XR</x:v>
      </x:c>
      <x:c r="B96" s="2" t="str">
        <x:v>High-volume route and flow tables</x:v>
      </x:c>
      <x:c r="C96" s="11" t="n">
        <x:v>0</x:v>
      </x:c>
      <x:c r="D96" s="12" t="str">
        <x:v>IOS XR devices</x:v>
      </x:c>
      <x:c r="E96" s="11" t="n">
        <x:v>10</x:v>
      </x:c>
      <x:c r="F96" s="12" t="str">
        <x:v>route/flow entries</x:v>
      </x:c>
      <x:c r="G96" s="11" t="n">
        <x:v>1000</x:v>
      </x:c>
      <x:c r="H96" s="11" t="n">
        <x:v>2</x:v>
      </x:c>
      <x:c r="I96" s="2" t="str">
        <x:v>IPv4 route entries, SRv6 local SID accounting, FlowSpec flows, tunnel heads, and other high-cardinality path groups.</x:v>
      </x:c>
      <x:c r="J96" s="12" t="n">
        <x:f>IF($C96=1,$E96*MAX(1,$G96)*$H96,0)</x:f>
        <x:v>0</x:v>
      </x:c>
      <x:c r="K96" s="12" t="n">
        <x:f>$J96*(60/'Start Here'!$B$6)</x:f>
        <x:v>0</x:v>
      </x:c>
      <x:c r="L96" s="12" t="n">
        <x:f>$K96*60*24</x:f>
        <x:v>0</x:v>
      </x:c>
      <x:c r="M96" s="12" t="n">
        <x:f>$L96*'Start Here'!$B$7</x:f>
        <x:v>0</x:v>
      </x:c>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3.xml><?xml version="1.0" encoding="utf-8"?>
<x:worksheet xmlns:x="http://schemas.openxmlformats.org/spreadsheetml/2006/main">
  <x:sheetFormatPr defaultRowHeight="15"/>
  <x:cols>
    <x:col min="1" max="1" width="16.670000076293945" hidden="0" customWidth="1"/>
    <x:col min="2" max="2" width="25.559999465942383" hidden="0" customWidth="1"/>
    <x:col min="3" max="3" width="37.779998779296875" hidden="0" customWidth="1"/>
    <x:col min="4" max="4" width="15.5600004196167" hidden="0" customWidth="1"/>
    <x:col min="5" max="5" width="10" hidden="0" customWidth="1"/>
    <x:col min="6" max="6" width="15.5600004196167" hidden="0" customWidth="1"/>
    <x:col min="7" max="7" width="11.670000076293945" hidden="0" customWidth="1"/>
    <x:col min="8" max="8" width="36.66999816894531"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Metric Catalog And Volume Drivers</x:v>
      </x:c>
      <x:c r="B1" s="4" t="str">
        <x:v>Metric Catalog And Volume Drivers</x:v>
      </x:c>
      <x:c r="C1" s="4" t="str">
        <x:v>Metric Catalog And Volume Drivers</x:v>
      </x:c>
      <x:c r="D1" s="4" t="str">
        <x:v>Metric Catalog And Volume Drivers</x:v>
      </x:c>
      <x:c r="E1" s="4" t="str">
        <x:v>Metric Catalog And Volume Drivers</x:v>
      </x:c>
      <x:c r="F1" s="4" t="str">
        <x:v>Metric Catalog And Volume Drivers</x:v>
      </x:c>
      <x:c r="G1" s="4" t="str">
        <x:v>Metric Catalog And Volume Drivers</x:v>
      </x:c>
      <x:c r="H1" s="4" t="str">
        <x:v>Metric Catalog And Volume Drivers</x:v>
      </x:c>
    </x:row>
    <x:row r="2">
      <x:c r="A2" s="6" t="str">
        <x:v>Current Cisco OS metric groups from receiver metadata, README, docs, and platform-specific collectors. Use this as the source guide for calculator assumptions.</x:v>
      </x:c>
      <x:c r="B2" s="6" t="str">
        <x:v>Current Cisco OS metric groups from receiver metadata, README, docs, and platform-specific collectors. Use this as the source guide for calculator assumptions.</x:v>
      </x:c>
      <x:c r="C2" s="6" t="str">
        <x:v>Current Cisco OS metric groups from receiver metadata, README, docs, and platform-specific collectors. Use this as the source guide for calculator assumptions.</x:v>
      </x:c>
      <x:c r="D2" s="6" t="str">
        <x:v>Current Cisco OS metric groups from receiver metadata, README, docs, and platform-specific collectors. Use this as the source guide for calculator assumptions.</x:v>
      </x:c>
      <x:c r="E2" s="6" t="str">
        <x:v>Current Cisco OS metric groups from receiver metadata, README, docs, and platform-specific collectors. Use this as the source guide for calculator assumptions.</x:v>
      </x:c>
      <x:c r="F2" s="6" t="str">
        <x:v>Current Cisco OS metric groups from receiver metadata, README, docs, and platform-specific collectors. Use this as the source guide for calculator assumptions.</x:v>
      </x:c>
      <x:c r="G2" s="6" t="str">
        <x:v>Current Cisco OS metric groups from receiver metadata, README, docs, and platform-specific collectors. Use this as the source guide for calculator assumptions.</x:v>
      </x:c>
      <x:c r="H2" s="6" t="str">
        <x:v>Current Cisco OS metric groups from receiver metadata, README, docs, and platform-specific collectors. Use this as the source guide for calculator assumptions.</x:v>
      </x:c>
    </x:row>
    <x:row r="3">
      <x:c r="A3" s="2"/>
      <x:c r="B3" s="2"/>
      <x:c r="C3" s="2"/>
      <x:c r="D3" s="2"/>
      <x:c r="E3" s="2"/>
      <x:c r="F3" s="2"/>
      <x:c r="G3" s="2"/>
      <x:c r="H3" s="2"/>
    </x:row>
    <x:row r="4">
      <x:c r="A4" s="2"/>
      <x:c r="B4" s="2"/>
      <x:c r="C4" s="2"/>
      <x:c r="D4" s="2"/>
      <x:c r="E4" s="2"/>
      <x:c r="F4" s="2"/>
      <x:c r="G4" s="2"/>
      <x:c r="H4" s="2"/>
    </x:row>
    <x:row r="5">
      <x:c r="A5" s="9" t="str">
        <x:v>Area</x:v>
      </x:c>
      <x:c r="B5" s="9" t="str">
        <x:v>Feature</x:v>
      </x:c>
      <x:c r="C5" s="9" t="str">
        <x:v>Metric names</x:v>
      </x:c>
      <x:c r="D5" s="9" t="str">
        <x:v>Default / opt-in</x:v>
      </x:c>
      <x:c r="E5" s="9" t="str">
        <x:v>Primary volume driver</x:v>
      </x:c>
      <x:c r="F5" s="9" t="str">
        <x:v>MTS-expanding attributes</x:v>
      </x:c>
      <x:c r="G5" s="9" t="str">
        <x:v>Source</x:v>
      </x:c>
      <x:c r="H5" s="9" t="str">
        <x:v>Notes</x:v>
      </x:c>
    </x:row>
    <x:row r="6">
      <x:c r="A6" s="2" t="str">
        <x:v>SSH</x:v>
      </x:c>
      <x:c r="B6" s="2" t="str">
        <x:v>Core device health</x:v>
      </x:c>
      <x:c r="C6" s="2" t="str">
        <x:v>cisco.device.up; system.uptime; system.cpu.utilization; system.memory.utilization</x:v>
      </x:c>
      <x:c r="D6" s="2" t="str">
        <x:v>Default</x:v>
      </x:c>
      <x:c r="E6" s="2" t="str">
        <x:v>SSH devices</x:v>
      </x:c>
      <x:c r="F6" s="2" t="str">
        <x:v>host.* and OS resource attributes</x:v>
      </x:c>
      <x:c r="G6" s="2" t="str">
        <x:v>systemscraper/metadata.yaml</x:v>
      </x:c>
      <x:c r="H6" s="2" t="str">
        <x:v>Low-cardinality device-level telemetry.</x:v>
      </x:c>
    </x:row>
    <x:row r="7">
      <x:c r="A7" s="2" t="str">
        <x:v>SSH</x:v>
      </x:c>
      <x:c r="B7" s="2" t="str">
        <x:v>Interface telemetry</x:v>
      </x:c>
      <x:c r="C7" s="2" t="str">
        <x:v>system.network.io; system.network.packets; system.network.errors; system.network.dropped; cisco.interface.*</x:v>
      </x:c>
      <x:c r="D7" s="2" t="str">
        <x:v>Default plus opt-in</x:v>
      </x:c>
      <x:c r="E7" s="2" t="str">
        <x:v>interfaces and optional counters</x:v>
      </x:c>
      <x:c r="F7" s="2" t="str">
        <x:v>network.interface.name; direction; packet/counter/status dimensions</x:v>
      </x:c>
      <x:c r="G7" s="2" t="str">
        <x:v>interfacesscraper/metadata.yaml</x:v>
      </x:c>
      <x:c r="H7" s="2" t="str">
        <x:v>Detailed counters, QoS, transceiver, topology, and VLAN/STP rows are tunable.</x:v>
      </x:c>
    </x:row>
    <x:row r="8">
      <x:c r="A8" s="2" t="str">
        <x:v>SSH</x:v>
      </x:c>
      <x:c r="B8" s="2" t="str">
        <x:v>Routing, hardware, and control plane</x:v>
      </x:c>
      <x:c r="C8" s="2" t="str">
        <x:v>cisco.routing.*; cisco.hardware.*; cisco.control_plane.*; cisco.qfp.*</x:v>
      </x:c>
      <x:c r="D8" s="2" t="str">
        <x:v>Opt-in</x:v>
      </x:c>
      <x:c r="E8" s="2" t="str">
        <x:v>VRFs, neighbors, components, queues, processes</x:v>
      </x:c>
      <x:c r="F8" s="2" t="str">
        <x:v>vrf; protocol; neighbor; component; queue; reason</x:v>
      </x:c>
      <x:c r="G8" s="2" t="str">
        <x:v>systemscraper/metadata.yaml</x:v>
      </x:c>
      <x:c r="H8" s="2" t="str">
        <x:v>Use include/exclude and max-result controls before enabling broad troubleshooting groups.</x:v>
      </x:c>
    </x:row>
    <x:row r="9">
      <x:c r="A9" s="2" t="str">
        <x:v>Meraki</x:v>
      </x:c>
      <x:c r="B9" s="2" t="str">
        <x:v>Dashboard API metrics</x:v>
      </x:c>
      <x:c r="C9" s="2" t="str">
        <x:v>meraki.api.*; meraki.device.*; meraki.uplink.*; meraki.switch.port.*; meraki.wireless.*</x:v>
      </x:c>
      <x:c r="D9" s="2" t="str">
        <x:v>Configured target</x:v>
      </x:c>
      <x:c r="E9" s="2" t="str">
        <x:v>organizations, devices, networks, ports, radios, peers</x:v>
      </x:c>
      <x:c r="F9" s="2" t="str">
        <x:v>serial; network; uplink; port; SSID/BSSID; peer</x:v>
      </x:c>
      <x:c r="G9" s="2" t="str">
        <x:v>meraki_receiver.go; internal/meraki</x:v>
      </x:c>
      <x:c r="H9" s="2" t="str">
        <x:v>Organization-scoped API output varies by product type and enabled endpoint families.</x:v>
      </x:c>
    </x:row>
    <x:row r="10">
      <x:c r="A10" s="2" t="str">
        <x:v>Intersight</x:v>
      </x:c>
      <x:c r="B10" s="2" t="str">
        <x:v>Intersight API metrics</x:v>
      </x:c>
      <x:c r="C10" s="2" t="str">
        <x:v>intersight.api.*; intersight.resource.*; intersight.telemetry.*; intersight.audit.*</x:v>
      </x:c>
      <x:c r="D10" s="2" t="str">
        <x:v>Configured target</x:v>
      </x:c>
      <x:c r="E10" s="2" t="str">
        <x:v>resources, events, audit users, telemetry groups</x:v>
      </x:c>
      <x:c r="F10" s="2" t="str">
        <x:v>moid; resource type; status; severity; user; metric name</x:v>
      </x:c>
      <x:c r="G10" s="2" t="str">
        <x:v>intersight_receiver.go; internal/intersight</x:v>
      </x:c>
      <x:c r="H10" s="2" t="str">
        <x:v>Operational records are also emitted as logs and are not included in metric datapoint totals.</x:v>
      </x:c>
    </x:row>
    <x:row r="11">
      <x:c r="A11" s="2" t="str">
        <x:v>Catalyst Center</x:v>
      </x:c>
      <x:c r="B11" s="2" t="str">
        <x:v>Catalyst Center Assurance metrics</x:v>
      </x:c>
      <x:c r="C11" s="2" t="str">
        <x:v>catalyst_center.api.*; catalyst_center.inventory.*; catalyst_center.assurance.*; catalyst_center.issue.*</x:v>
      </x:c>
      <x:c r="D11" s="2" t="str">
        <x:v>Configured target</x:v>
      </x:c>
      <x:c r="E11" s="2" t="str">
        <x:v>devices, sites, health entities, topology nodes/links/issues</x:v>
      </x:c>
      <x:c r="F11" s="2" t="str">
        <x:v>site; entity; health state; severity; category; interface</x:v>
      </x:c>
      <x:c r="G11" s="2" t="str">
        <x:v>catalyst_center_receiver.go; internal/catalystcenter</x:v>
      </x:c>
      <x:c r="H11" s="2" t="str">
        <x:v>Detail rows emit only for configured device/client targets.</x:v>
      </x:c>
    </x:row>
    <x:row r="12">
      <x:c r="A12" s="2" t="str">
        <x:v>Catalyst 9800</x:v>
      </x:c>
      <x:c r="B12" s="2" t="str">
        <x:v>Direct WLC gNMI/MDT metrics</x:v>
      </x:c>
      <x:c r="C12" s="2" t="str">
        <x:v>cisco.catalyst9800.receiver.*; cisco.catalyst9800.yang.*; cisco.wlc.*</x:v>
      </x:c>
      <x:c r="D12" s="2" t="str">
        <x:v>Configured target; safe path groups default on</x:v>
      </x:c>
      <x:c r="E12" s="2" t="str">
        <x:v>APs, radios, BSSIDs, clients, peers, controller components</x:v>
      </x:c>
      <x:c r="F12" s="2" t="str">
        <x:v>path; module; AP; radio; SSID/BSSID; client; peer</x:v>
      </x:c>
      <x:c r="G12" s="2" t="str">
        <x:v>catalyst9800_config.go; catalyst9800_paths.go; catalyst9800_metrics.go</x:v>
      </x:c>
      <x:c r="H12" s="2" t="str">
        <x:v>Client detail, CAPWAP packets, and neighbor path groups are high-cardinality opt-ins.</x:v>
      </x:c>
    </x:row>
    <x:row r="13">
      <x:c r="A13" s="2" t="str">
        <x:v>SD-WAN</x:v>
      </x:c>
      <x:c r="B13" s="2" t="str">
        <x:v>Catalyst SD-WAN Manager metrics</x:v>
      </x:c>
      <x:c r="C13" s="2" t="str">
        <x:v>sdwan.api.*; sdwan.manager.*; sdwan.resource.*; sdwan.control.*; sdwan.bfd.*; sdwan.app_route.*</x:v>
      </x:c>
      <x:c r="D13" s="2" t="str">
        <x:v>Configured target</x:v>
      </x:c>
      <x:c r="E13" s="2" t="str">
        <x:v>devices, interfaces, control connections, BFD sessions, app-route probes, events</x:v>
      </x:c>
      <x:c r="F13" s="2" t="str">
        <x:v>system IP; site; VPN; color; interface; status; app/service</x:v>
      </x:c>
      <x:c r="G13" s="2" t="str">
        <x:v>sdwan_receiver.go; internal/sdwan</x:v>
      </x:c>
      <x:c r="H13" s="2" t="str">
        <x:v>Realtime, flow, security, NWPI, underlay, and service groups are opt-in because cardinality is data-dependent.</x:v>
      </x:c>
    </x:row>
    <x:row r="14">
      <x:c r="A14" s="2" t="str">
        <x:v>Nexus Dashboard</x:v>
      </x:c>
      <x:c r="B14" s="2" t="str">
        <x:v>Nexus Dashboard/NDFC/Insights/NDO metrics</x:v>
      </x:c>
      <x:c r="C14" s="2" t="str">
        <x:v>nexus_dashboard.api.*; nexus_dashboard.resource.*; nexus_dashboard.insights.*; ndfc.*; ndo.*</x:v>
      </x:c>
      <x:c r="D14" s="2" t="str">
        <x:v>Configured target</x:v>
      </x:c>
      <x:c r="E14" s="2" t="str">
        <x:v>fabrics, switches, endpoints, vPCs, anomalies, services</x:v>
      </x:c>
      <x:c r="F14" s="2" t="str">
        <x:v>site; fabric; switch; service; status; severity</x:v>
      </x:c>
      <x:c r="G14" s="2" t="str">
        <x:v>nexusdashboard_receiver.go; internal/nexusdashboard</x:v>
      </x:c>
      <x:c r="H14" s="2" t="str">
        <x:v>Service discovery can expand coverage across NDFC, Insights, Orchestrator, and Data Broker.</x:v>
      </x:c>
    </x:row>
    <x:row r="15">
      <x:c r="A15" s="2" t="str">
        <x:v>ACI</x:v>
      </x:c>
      <x:c r="B15" s="2" t="str">
        <x:v>APIC metrics</x:v>
      </x:c>
      <x:c r="C15" s="2" t="str">
        <x:v>aci.api.*; aci.resource.*; aci.fabric.*; aci.fault.*; aci.endpoint.*</x:v>
      </x:c>
      <x:c r="D15" s="2" t="str">
        <x:v>Configured target</x:v>
      </x:c>
      <x:c r="E15" s="2" t="str">
        <x:v>controllers, fabric objects, faults, endpoints, tenant objects, interfaces</x:v>
      </x:c>
      <x:c r="F15" s="2" t="str">
        <x:v>site; fabric; tenant; VRF; BD; EPG; node; severity</x:v>
      </x:c>
      <x:c r="G15" s="2" t="str">
        <x:v>aci_receiver.go; internal/aci</x:v>
      </x:c>
      <x:c r="H15" s="2" t="str">
        <x:v>Faults, endpoints, and stats are sensitive to fabric scale and selected tenants.</x:v>
      </x:c>
    </x:row>
    <x:row r="16">
      <x:c r="A16" s="2" t="str">
        <x:v>FMC</x:v>
      </x:c>
      <x:c r="B16" s="2" t="str">
        <x:v>Secure Firewall Management Center metrics</x:v>
      </x:c>
      <x:c r="C16" s="2" t="str">
        <x:v>fmc.api.*; fmc.manager.*; fmc.resource.*; fmc.audit.record.count; fmc.security.*</x:v>
      </x:c>
      <x:c r="D16" s="2" t="str">
        <x:v>Configured target</x:v>
      </x:c>
      <x:c r="E16" s="2" t="str">
        <x:v>controllers, managed firewalls, interfaces, VPNs, policies, deployments, audit/security records</x:v>
      </x:c>
      <x:c r="F16" s="2" t="str">
        <x:v>domain; device; policy; interface; status; event type</x:v>
      </x:c>
      <x:c r="G16" s="2" t="str">
        <x:v>fmc_receiver.go; internal/fmc</x:v>
      </x:c>
      <x:c r="H16" s="2" t="str">
        <x:v>eStreamer event payloads are logs; this workbook models only metric health/count rows.</x:v>
      </x:c>
    </x:row>
    <x:row r="17">
      <x:c r="A17" s="2" t="str">
        <x:v>ISE</x:v>
      </x:c>
      <x:c r="B17" s="2" t="str">
        <x:v>Identity Services Engine metrics</x:v>
      </x:c>
      <x:c r="C17" s="2" t="str">
        <x:v>ise.api.*; ise.resource.*; ise.session.*; ise.endpoint.*; ise.pxgrid.*; ise.dataconnect.*</x:v>
      </x:c>
      <x:c r="D17" s="2" t="str">
        <x:v>Configured target</x:v>
      </x:c>
      <x:c r="E17" s="2" t="str">
        <x:v>nodes, network devices, endpoints, sessions, policies, pxGrid services, Data Connect rows</x:v>
      </x:c>
      <x:c r="F17" s="2" t="str">
        <x:v>node; network device; endpoint; user; policy; service; topic; view</x:v>
      </x:c>
      <x:c r="G17" s="2" t="str">
        <x:v>ise_receiver.go; internal/ise</x:v>
      </x:c>
      <x:c r="H17" s="2" t="str">
        <x:v>REST, pxGrid, and Data Connect can be sized separately with the calculator rows.</x:v>
      </x:c>
    </x:row>
    <x:row r="18">
      <x:c r="A18" s="2" t="str">
        <x:v>IOS XR</x:v>
      </x:c>
      <x:c r="B18" s="2" t="str">
        <x:v>IOS XR gNMI/MDT metrics</x:v>
      </x:c>
      <x:c r="C18" s="2" t="str">
        <x:v>cisco.iosxr.receiver.*; cisco.iosxr.yang.*</x:v>
      </x:c>
      <x:c r="D18" s="2" t="str">
        <x:v>Configured target; path groups opt-in</x:v>
      </x:c>
      <x:c r="E18" s="2" t="str">
        <x:v>targets, path groups, interfaces, components, neighbors, routes, policies</x:v>
      </x:c>
      <x:c r="F18" s="2" t="str">
        <x:v>path; module; interface; component; VRF; neighbor; route/flow identifiers</x:v>
      </x:c>
      <x:c r="G18" s="2" t="str">
        <x:v>iosxr_config.go; iosxr_paths.go; iosxr_metrics.go</x:v>
      </x:c>
      <x:c r="H18" s="2" t="str">
        <x:v>Generated metric names follow the YANG path; broad route/flow tables are intentionally modeled as high-volume.</x:v>
      </x:c>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row r="201">
      <x:c r="A201" s="2"/>
      <x:c r="B201" s="2"/>
      <x:c r="C201" s="2"/>
      <x:c r="D201" s="2"/>
      <x:c r="E201" s="2"/>
      <x:c r="F201" s="2"/>
      <x:c r="G201" s="2"/>
      <x:c r="H201" s="2"/>
    </x:row>
    <x:row r="202">
      <x:c r="A202" s="2"/>
      <x:c r="B202" s="2"/>
      <x:c r="C202" s="2"/>
      <x:c r="D202" s="2"/>
      <x:c r="E202" s="2"/>
      <x:c r="F202" s="2"/>
      <x:c r="G202" s="2"/>
      <x:c r="H202" s="2"/>
    </x:row>
    <x:row r="203">
      <x:c r="A203" s="2"/>
      <x:c r="B203" s="2"/>
      <x:c r="C203" s="2"/>
      <x:c r="D203" s="2"/>
      <x:c r="E203" s="2"/>
      <x:c r="F203" s="2"/>
      <x:c r="G203" s="2"/>
      <x:c r="H203" s="2"/>
    </x:row>
    <x:row r="204">
      <x:c r="A204" s="2"/>
      <x:c r="B204" s="2"/>
      <x:c r="C204" s="2"/>
      <x:c r="D204" s="2"/>
      <x:c r="E204" s="2"/>
      <x:c r="F204" s="2"/>
      <x:c r="G204" s="2"/>
      <x:c r="H204" s="2"/>
    </x:row>
    <x:row r="205">
      <x:c r="A205" s="2"/>
      <x:c r="B205" s="2"/>
      <x:c r="C205" s="2"/>
      <x:c r="D205" s="2"/>
      <x:c r="E205" s="2"/>
      <x:c r="F205" s="2"/>
      <x:c r="G205" s="2"/>
      <x:c r="H205" s="2"/>
    </x:row>
    <x:row r="206">
      <x:c r="A206" s="2"/>
      <x:c r="B206" s="2"/>
      <x:c r="C206" s="2"/>
      <x:c r="D206" s="2"/>
      <x:c r="E206" s="2"/>
      <x:c r="F206" s="2"/>
      <x:c r="G206" s="2"/>
      <x:c r="H206" s="2"/>
    </x:row>
    <x:row r="207">
      <x:c r="A207" s="2"/>
      <x:c r="B207" s="2"/>
      <x:c r="C207" s="2"/>
      <x:c r="D207" s="2"/>
      <x:c r="E207" s="2"/>
      <x:c r="F207" s="2"/>
      <x:c r="G207" s="2"/>
      <x:c r="H207" s="2"/>
    </x:row>
    <x:row r="208">
      <x:c r="A208" s="2"/>
      <x:c r="B208" s="2"/>
      <x:c r="C208" s="2"/>
      <x:c r="D208" s="2"/>
      <x:c r="E208" s="2"/>
      <x:c r="F208" s="2"/>
      <x:c r="G208" s="2"/>
      <x:c r="H208" s="2"/>
    </x:row>
    <x:row r="209">
      <x:c r="A209" s="2"/>
      <x:c r="B209" s="2"/>
      <x:c r="C209" s="2"/>
      <x:c r="D209" s="2"/>
      <x:c r="E209" s="2"/>
      <x:c r="F209" s="2"/>
      <x:c r="G209" s="2"/>
      <x:c r="H209" s="2"/>
    </x:row>
    <x:row r="210">
      <x:c r="A210" s="2"/>
      <x:c r="B210" s="2"/>
      <x:c r="C210" s="2"/>
      <x:c r="D210" s="2"/>
      <x:c r="E210" s="2"/>
      <x:c r="F210" s="2"/>
      <x:c r="G210" s="2"/>
      <x:c r="H210" s="2"/>
    </x:row>
    <x:row r="211">
      <x:c r="A211" s="2"/>
      <x:c r="B211" s="2"/>
      <x:c r="C211" s="2"/>
      <x:c r="D211" s="2"/>
      <x:c r="E211" s="2"/>
      <x:c r="F211" s="2"/>
      <x:c r="G211" s="2"/>
      <x:c r="H211" s="2"/>
    </x:row>
    <x:row r="212">
      <x:c r="A212" s="2"/>
      <x:c r="B212" s="2"/>
      <x:c r="C212" s="2"/>
      <x:c r="D212" s="2"/>
      <x:c r="E212" s="2"/>
      <x:c r="F212" s="2"/>
      <x:c r="G212" s="2"/>
      <x:c r="H212" s="2"/>
    </x:row>
    <x:row r="213">
      <x:c r="A213" s="2"/>
      <x:c r="B213" s="2"/>
      <x:c r="C213" s="2"/>
      <x:c r="D213" s="2"/>
      <x:c r="E213" s="2"/>
      <x:c r="F213" s="2"/>
      <x:c r="G213" s="2"/>
      <x:c r="H213" s="2"/>
    </x:row>
    <x:row r="214">
      <x:c r="A214" s="2"/>
      <x:c r="B214" s="2"/>
      <x:c r="C214" s="2"/>
      <x:c r="D214" s="2"/>
      <x:c r="E214" s="2"/>
      <x:c r="F214" s="2"/>
      <x:c r="G214" s="2"/>
      <x:c r="H214" s="2"/>
    </x:row>
    <x:row r="215">
      <x:c r="A215" s="2"/>
      <x:c r="B215" s="2"/>
      <x:c r="C215" s="2"/>
      <x:c r="D215" s="2"/>
      <x:c r="E215" s="2"/>
      <x:c r="F215" s="2"/>
      <x:c r="G215" s="2"/>
      <x:c r="H215" s="2"/>
    </x:row>
    <x:row r="216">
      <x:c r="A216" s="2"/>
      <x:c r="B216" s="2"/>
      <x:c r="C216" s="2"/>
      <x:c r="D216" s="2"/>
      <x:c r="E216" s="2"/>
      <x:c r="F216" s="2"/>
      <x:c r="G216" s="2"/>
      <x:c r="H216" s="2"/>
    </x:row>
    <x:row r="217">
      <x:c r="A217" s="2"/>
      <x:c r="B217" s="2"/>
      <x:c r="C217" s="2"/>
      <x:c r="D217" s="2"/>
      <x:c r="E217" s="2"/>
      <x:c r="F217" s="2"/>
      <x:c r="G217" s="2"/>
      <x:c r="H217" s="2"/>
    </x:row>
    <x:row r="218">
      <x:c r="A218" s="2"/>
      <x:c r="B218" s="2"/>
      <x:c r="C218" s="2"/>
      <x:c r="D218" s="2"/>
      <x:c r="E218" s="2"/>
      <x:c r="F218" s="2"/>
      <x:c r="G218" s="2"/>
      <x:c r="H218" s="2"/>
    </x:row>
    <x:row r="219">
      <x:c r="A219" s="2"/>
      <x:c r="B219" s="2"/>
      <x:c r="C219" s="2"/>
      <x:c r="D219" s="2"/>
      <x:c r="E219" s="2"/>
      <x:c r="F219" s="2"/>
      <x:c r="G219" s="2"/>
      <x:c r="H219" s="2"/>
    </x:row>
    <x:row r="220">
      <x:c r="A220" s="2"/>
      <x:c r="B220" s="2"/>
      <x:c r="C220" s="2"/>
      <x:c r="D220" s="2"/>
      <x:c r="E220" s="2"/>
      <x:c r="F220" s="2"/>
      <x:c r="G220" s="2"/>
      <x:c r="H220" s="2"/>
    </x:row>
    <x:row r="221">
      <x:c r="A221" s="2"/>
      <x:c r="B221" s="2"/>
      <x:c r="C221" s="2"/>
      <x:c r="D221" s="2"/>
      <x:c r="E221" s="2"/>
      <x:c r="F221" s="2"/>
      <x:c r="G221" s="2"/>
      <x:c r="H221" s="2"/>
    </x:row>
    <x:row r="222">
      <x:c r="A222" s="2"/>
      <x:c r="B222" s="2"/>
      <x:c r="C222" s="2"/>
      <x:c r="D222" s="2"/>
      <x:c r="E222" s="2"/>
      <x:c r="F222" s="2"/>
      <x:c r="G222" s="2"/>
      <x:c r="H222" s="2"/>
    </x:row>
    <x:row r="223">
      <x:c r="A223" s="2"/>
      <x:c r="B223" s="2"/>
      <x:c r="C223" s="2"/>
      <x:c r="D223" s="2"/>
      <x:c r="E223" s="2"/>
      <x:c r="F223" s="2"/>
      <x:c r="G223" s="2"/>
      <x:c r="H223" s="2"/>
    </x:row>
    <x:row r="224">
      <x:c r="A224" s="2"/>
      <x:c r="B224" s="2"/>
      <x:c r="C224" s="2"/>
      <x:c r="D224" s="2"/>
      <x:c r="E224" s="2"/>
      <x:c r="F224" s="2"/>
      <x:c r="G224" s="2"/>
      <x:c r="H224" s="2"/>
    </x:row>
    <x:row r="225">
      <x:c r="A225" s="2"/>
      <x:c r="B225" s="2"/>
      <x:c r="C225" s="2"/>
      <x:c r="D225" s="2"/>
      <x:c r="E225" s="2"/>
      <x:c r="F225" s="2"/>
      <x:c r="G225" s="2"/>
      <x:c r="H225" s="2"/>
    </x:row>
    <x:row r="226">
      <x:c r="A226" s="2"/>
      <x:c r="B226" s="2"/>
      <x:c r="C226" s="2"/>
      <x:c r="D226" s="2"/>
      <x:c r="E226" s="2"/>
      <x:c r="F226" s="2"/>
      <x:c r="G226" s="2"/>
      <x:c r="H226" s="2"/>
    </x:row>
    <x:row r="227">
      <x:c r="A227" s="2"/>
      <x:c r="B227" s="2"/>
      <x:c r="C227" s="2"/>
      <x:c r="D227" s="2"/>
      <x:c r="E227" s="2"/>
      <x:c r="F227" s="2"/>
      <x:c r="G227" s="2"/>
      <x:c r="H227" s="2"/>
    </x:row>
    <x:row r="228">
      <x:c r="A228" s="2"/>
      <x:c r="B228" s="2"/>
      <x:c r="C228" s="2"/>
      <x:c r="D228" s="2"/>
      <x:c r="E228" s="2"/>
      <x:c r="F228" s="2"/>
      <x:c r="G228" s="2"/>
      <x:c r="H228" s="2"/>
    </x:row>
    <x:row r="229">
      <x:c r="A229" s="2"/>
      <x:c r="B229" s="2"/>
      <x:c r="C229" s="2"/>
      <x:c r="D229" s="2"/>
      <x:c r="E229" s="2"/>
      <x:c r="F229" s="2"/>
      <x:c r="G229" s="2"/>
      <x:c r="H229" s="2"/>
    </x:row>
    <x:row r="230">
      <x:c r="A230" s="2"/>
      <x:c r="B230" s="2"/>
      <x:c r="C230" s="2"/>
      <x:c r="D230" s="2"/>
      <x:c r="E230" s="2"/>
      <x:c r="F230" s="2"/>
      <x:c r="G230" s="2"/>
      <x:c r="H230" s="2"/>
    </x:row>
    <x:row r="231">
      <x:c r="A231" s="2"/>
      <x:c r="B231" s="2"/>
      <x:c r="C231" s="2"/>
      <x:c r="D231" s="2"/>
      <x:c r="E231" s="2"/>
      <x:c r="F231" s="2"/>
      <x:c r="G231" s="2"/>
      <x:c r="H231" s="2"/>
    </x:row>
    <x:row r="232">
      <x:c r="A232" s="2"/>
      <x:c r="B232" s="2"/>
      <x:c r="C232" s="2"/>
      <x:c r="D232" s="2"/>
      <x:c r="E232" s="2"/>
      <x:c r="F232" s="2"/>
      <x:c r="G232" s="2"/>
      <x:c r="H232" s="2"/>
    </x:row>
    <x:row r="233">
      <x:c r="A233" s="2"/>
      <x:c r="B233" s="2"/>
      <x:c r="C233" s="2"/>
      <x:c r="D233" s="2"/>
      <x:c r="E233" s="2"/>
      <x:c r="F233" s="2"/>
      <x:c r="G233" s="2"/>
      <x:c r="H233" s="2"/>
    </x:row>
    <x:row r="234">
      <x:c r="A234" s="2"/>
      <x:c r="B234" s="2"/>
      <x:c r="C234" s="2"/>
      <x:c r="D234" s="2"/>
      <x:c r="E234" s="2"/>
      <x:c r="F234" s="2"/>
      <x:c r="G234" s="2"/>
      <x:c r="H234" s="2"/>
    </x:row>
    <x:row r="235">
      <x:c r="A235" s="2"/>
      <x:c r="B235" s="2"/>
      <x:c r="C235" s="2"/>
      <x:c r="D235" s="2"/>
      <x:c r="E235" s="2"/>
      <x:c r="F235" s="2"/>
      <x:c r="G235" s="2"/>
      <x:c r="H235" s="2"/>
    </x:row>
    <x:row r="236">
      <x:c r="A236" s="2"/>
      <x:c r="B236" s="2"/>
      <x:c r="C236" s="2"/>
      <x:c r="D236" s="2"/>
      <x:c r="E236" s="2"/>
      <x:c r="F236" s="2"/>
      <x:c r="G236" s="2"/>
      <x:c r="H236" s="2"/>
    </x:row>
    <x:row r="237">
      <x:c r="A237" s="2"/>
      <x:c r="B237" s="2"/>
      <x:c r="C237" s="2"/>
      <x:c r="D237" s="2"/>
      <x:c r="E237" s="2"/>
      <x:c r="F237" s="2"/>
      <x:c r="G237" s="2"/>
      <x:c r="H237" s="2"/>
    </x:row>
    <x:row r="238">
      <x:c r="A238" s="2"/>
      <x:c r="B238" s="2"/>
      <x:c r="C238" s="2"/>
      <x:c r="D238" s="2"/>
      <x:c r="E238" s="2"/>
      <x:c r="F238" s="2"/>
      <x:c r="G238" s="2"/>
      <x:c r="H238" s="2"/>
    </x:row>
    <x:row r="239">
      <x:c r="A239" s="2"/>
      <x:c r="B239" s="2"/>
      <x:c r="C239" s="2"/>
      <x:c r="D239" s="2"/>
      <x:c r="E239" s="2"/>
      <x:c r="F239" s="2"/>
      <x:c r="G239" s="2"/>
      <x:c r="H239" s="2"/>
    </x:row>
    <x:row r="240">
      <x:c r="A240" s="2"/>
      <x:c r="B240" s="2"/>
      <x:c r="C240" s="2"/>
      <x:c r="D240" s="2"/>
      <x:c r="E240" s="2"/>
      <x:c r="F240" s="2"/>
      <x:c r="G240" s="2"/>
      <x:c r="H240" s="2"/>
    </x:row>
    <x:row r="241">
      <x:c r="A241" s="2"/>
      <x:c r="B241" s="2"/>
      <x:c r="C241" s="2"/>
      <x:c r="D241" s="2"/>
      <x:c r="E241" s="2"/>
      <x:c r="F241" s="2"/>
      <x:c r="G241" s="2"/>
      <x:c r="H241" s="2"/>
    </x:row>
    <x:row r="242">
      <x:c r="A242" s="2"/>
      <x:c r="B242" s="2"/>
      <x:c r="C242" s="2"/>
      <x:c r="D242" s="2"/>
      <x:c r="E242" s="2"/>
      <x:c r="F242" s="2"/>
      <x:c r="G242" s="2"/>
      <x:c r="H242" s="2"/>
    </x:row>
    <x:row r="243">
      <x:c r="A243" s="2"/>
      <x:c r="B243" s="2"/>
      <x:c r="C243" s="2"/>
      <x:c r="D243" s="2"/>
      <x:c r="E243" s="2"/>
      <x:c r="F243" s="2"/>
      <x:c r="G243" s="2"/>
      <x:c r="H243" s="2"/>
    </x:row>
    <x:row r="244">
      <x:c r="A244" s="2"/>
      <x:c r="B244" s="2"/>
      <x:c r="C244" s="2"/>
      <x:c r="D244" s="2"/>
      <x:c r="E244" s="2"/>
      <x:c r="F244" s="2"/>
      <x:c r="G244" s="2"/>
      <x:c r="H244" s="2"/>
    </x:row>
    <x:row r="245">
      <x:c r="A245" s="2"/>
      <x:c r="B245" s="2"/>
      <x:c r="C245" s="2"/>
      <x:c r="D245" s="2"/>
      <x:c r="E245" s="2"/>
      <x:c r="F245" s="2"/>
      <x:c r="G245" s="2"/>
      <x:c r="H245" s="2"/>
    </x:row>
    <x:row r="246">
      <x:c r="A246" s="2"/>
      <x:c r="B246" s="2"/>
      <x:c r="C246" s="2"/>
      <x:c r="D246" s="2"/>
      <x:c r="E246" s="2"/>
      <x:c r="F246" s="2"/>
      <x:c r="G246" s="2"/>
      <x:c r="H246" s="2"/>
    </x:row>
    <x:row r="247">
      <x:c r="A247" s="2"/>
      <x:c r="B247" s="2"/>
      <x:c r="C247" s="2"/>
      <x:c r="D247" s="2"/>
      <x:c r="E247" s="2"/>
      <x:c r="F247" s="2"/>
      <x:c r="G247" s="2"/>
      <x:c r="H247" s="2"/>
    </x:row>
    <x:row r="248">
      <x:c r="A248" s="2"/>
      <x:c r="B248" s="2"/>
      <x:c r="C248" s="2"/>
      <x:c r="D248" s="2"/>
      <x:c r="E248" s="2"/>
      <x:c r="F248" s="2"/>
      <x:c r="G248" s="2"/>
      <x:c r="H248" s="2"/>
    </x:row>
    <x:row r="249">
      <x:c r="A249" s="2"/>
      <x:c r="B249" s="2"/>
      <x:c r="C249" s="2"/>
      <x:c r="D249" s="2"/>
      <x:c r="E249" s="2"/>
      <x:c r="F249" s="2"/>
      <x:c r="G249" s="2"/>
      <x:c r="H249" s="2"/>
    </x:row>
    <x:row r="250">
      <x:c r="A250" s="2"/>
      <x:c r="B250" s="2"/>
      <x:c r="C250" s="2"/>
      <x:c r="D250" s="2"/>
      <x:c r="E250" s="2"/>
      <x:c r="F250" s="2"/>
      <x:c r="G250" s="2"/>
      <x:c r="H250" s="2"/>
    </x:row>
    <x:row r="251">
      <x:c r="A251" s="2"/>
      <x:c r="B251" s="2"/>
      <x:c r="C251" s="2"/>
      <x:c r="D251" s="2"/>
      <x:c r="E251" s="2"/>
      <x:c r="F251" s="2"/>
      <x:c r="G251" s="2"/>
      <x:c r="H251" s="2"/>
    </x:row>
    <x:row r="252">
      <x:c r="A252" s="2"/>
      <x:c r="B252" s="2"/>
      <x:c r="C252" s="2"/>
      <x:c r="D252" s="2"/>
      <x:c r="E252" s="2"/>
      <x:c r="F252" s="2"/>
      <x:c r="G252" s="2"/>
      <x:c r="H252" s="2"/>
    </x:row>
    <x:row r="253">
      <x:c r="A253" s="2"/>
      <x:c r="B253" s="2"/>
      <x:c r="C253" s="2"/>
      <x:c r="D253" s="2"/>
      <x:c r="E253" s="2"/>
      <x:c r="F253" s="2"/>
      <x:c r="G253" s="2"/>
      <x:c r="H253" s="2"/>
    </x:row>
    <x:row r="254">
      <x:c r="A254" s="2"/>
      <x:c r="B254" s="2"/>
      <x:c r="C254" s="2"/>
      <x:c r="D254" s="2"/>
      <x:c r="E254" s="2"/>
      <x:c r="F254" s="2"/>
      <x:c r="G254" s="2"/>
      <x:c r="H254" s="2"/>
    </x:row>
    <x:row r="255">
      <x:c r="A255" s="2"/>
      <x:c r="B255" s="2"/>
      <x:c r="C255" s="2"/>
      <x:c r="D255" s="2"/>
      <x:c r="E255" s="2"/>
      <x:c r="F255" s="2"/>
      <x:c r="G255" s="2"/>
      <x:c r="H255" s="2"/>
    </x:row>
    <x:row r="256">
      <x:c r="A256" s="2"/>
      <x:c r="B256" s="2"/>
      <x:c r="C256" s="2"/>
      <x:c r="D256" s="2"/>
      <x:c r="E256" s="2"/>
      <x:c r="F256" s="2"/>
      <x:c r="G256" s="2"/>
      <x:c r="H256" s="2"/>
    </x:row>
    <x:row r="257">
      <x:c r="A257" s="2"/>
      <x:c r="B257" s="2"/>
      <x:c r="C257" s="2"/>
      <x:c r="D257" s="2"/>
      <x:c r="E257" s="2"/>
      <x:c r="F257" s="2"/>
      <x:c r="G257" s="2"/>
      <x:c r="H257" s="2"/>
    </x:row>
    <x:row r="258">
      <x:c r="A258" s="2"/>
      <x:c r="B258" s="2"/>
      <x:c r="C258" s="2"/>
      <x:c r="D258" s="2"/>
      <x:c r="E258" s="2"/>
      <x:c r="F258" s="2"/>
      <x:c r="G258" s="2"/>
      <x:c r="H258" s="2"/>
    </x:row>
    <x:row r="259">
      <x:c r="A259" s="2"/>
      <x:c r="B259" s="2"/>
      <x:c r="C259" s="2"/>
      <x:c r="D259" s="2"/>
      <x:c r="E259" s="2"/>
      <x:c r="F259" s="2"/>
      <x:c r="G259" s="2"/>
      <x:c r="H259" s="2"/>
    </x:row>
    <x:row r="260">
      <x:c r="A260" s="2"/>
      <x:c r="B260" s="2"/>
      <x:c r="C260" s="2"/>
      <x:c r="D260" s="2"/>
      <x:c r="E260" s="2"/>
      <x:c r="F260" s="2"/>
      <x:c r="G260" s="2"/>
      <x:c r="H260" s="2"/>
    </x:row>
    <x:row r="261">
      <x:c r="A261" s="2"/>
      <x:c r="B261" s="2"/>
      <x:c r="C261" s="2"/>
      <x:c r="D261" s="2"/>
      <x:c r="E261" s="2"/>
      <x:c r="F261" s="2"/>
      <x:c r="G261" s="2"/>
      <x:c r="H261" s="2"/>
    </x:row>
    <x:row r="262">
      <x:c r="A262" s="2"/>
      <x:c r="B262" s="2"/>
      <x:c r="C262" s="2"/>
      <x:c r="D262" s="2"/>
      <x:c r="E262" s="2"/>
      <x:c r="F262" s="2"/>
      <x:c r="G262" s="2"/>
      <x:c r="H262" s="2"/>
    </x:row>
    <x:row r="263">
      <x:c r="A263" s="2"/>
      <x:c r="B263" s="2"/>
      <x:c r="C263" s="2"/>
      <x:c r="D263" s="2"/>
      <x:c r="E263" s="2"/>
      <x:c r="F263" s="2"/>
      <x:c r="G263" s="2"/>
      <x:c r="H263" s="2"/>
    </x:row>
    <x:row r="264">
      <x:c r="A264" s="2"/>
      <x:c r="B264" s="2"/>
      <x:c r="C264" s="2"/>
      <x:c r="D264" s="2"/>
      <x:c r="E264" s="2"/>
      <x:c r="F264" s="2"/>
      <x:c r="G264" s="2"/>
      <x:c r="H264" s="2"/>
    </x:row>
    <x:row r="265">
      <x:c r="A265" s="2"/>
      <x:c r="B265" s="2"/>
      <x:c r="C265" s="2"/>
      <x:c r="D265" s="2"/>
      <x:c r="E265" s="2"/>
      <x:c r="F265" s="2"/>
      <x:c r="G265" s="2"/>
      <x:c r="H265" s="2"/>
    </x:row>
    <x:row r="266">
      <x:c r="A266" s="2"/>
      <x:c r="B266" s="2"/>
      <x:c r="C266" s="2"/>
      <x:c r="D266" s="2"/>
      <x:c r="E266" s="2"/>
      <x:c r="F266" s="2"/>
      <x:c r="G266" s="2"/>
      <x:c r="H266" s="2"/>
    </x:row>
    <x:row r="267">
      <x:c r="A267" s="2"/>
      <x:c r="B267" s="2"/>
      <x:c r="C267" s="2"/>
      <x:c r="D267" s="2"/>
      <x:c r="E267" s="2"/>
      <x:c r="F267" s="2"/>
      <x:c r="G267" s="2"/>
      <x:c r="H267" s="2"/>
    </x:row>
    <x:row r="268">
      <x:c r="A268" s="2"/>
      <x:c r="B268" s="2"/>
      <x:c r="C268" s="2"/>
      <x:c r="D268" s="2"/>
      <x:c r="E268" s="2"/>
      <x:c r="F268" s="2"/>
      <x:c r="G268" s="2"/>
      <x:c r="H268" s="2"/>
    </x:row>
    <x:row r="269">
      <x:c r="A269" s="2"/>
      <x:c r="B269" s="2"/>
      <x:c r="C269" s="2"/>
      <x:c r="D269" s="2"/>
      <x:c r="E269" s="2"/>
      <x:c r="F269" s="2"/>
      <x:c r="G269" s="2"/>
      <x:c r="H269" s="2"/>
    </x:row>
    <x:row r="270">
      <x:c r="A270" s="2"/>
      <x:c r="B270" s="2"/>
      <x:c r="C270" s="2"/>
      <x:c r="D270" s="2"/>
      <x:c r="E270" s="2"/>
      <x:c r="F270" s="2"/>
      <x:c r="G270" s="2"/>
      <x:c r="H270" s="2"/>
    </x:row>
    <x:row r="271">
      <x:c r="A271" s="2"/>
      <x:c r="B271" s="2"/>
      <x:c r="C271" s="2"/>
      <x:c r="D271" s="2"/>
      <x:c r="E271" s="2"/>
      <x:c r="F271" s="2"/>
      <x:c r="G271" s="2"/>
      <x:c r="H271" s="2"/>
    </x:row>
    <x:row r="272">
      <x:c r="A272" s="2"/>
      <x:c r="B272" s="2"/>
      <x:c r="C272" s="2"/>
      <x:c r="D272" s="2"/>
      <x:c r="E272" s="2"/>
      <x:c r="F272" s="2"/>
      <x:c r="G272" s="2"/>
      <x:c r="H272" s="2"/>
    </x:row>
    <x:row r="273">
      <x:c r="A273" s="2"/>
      <x:c r="B273" s="2"/>
      <x:c r="C273" s="2"/>
      <x:c r="D273" s="2"/>
      <x:c r="E273" s="2"/>
      <x:c r="F273" s="2"/>
      <x:c r="G273" s="2"/>
      <x:c r="H273" s="2"/>
    </x:row>
    <x:row r="274">
      <x:c r="A274" s="2"/>
      <x:c r="B274" s="2"/>
      <x:c r="C274" s="2"/>
      <x:c r="D274" s="2"/>
      <x:c r="E274" s="2"/>
      <x:c r="F274" s="2"/>
      <x:c r="G274" s="2"/>
      <x:c r="H274" s="2"/>
    </x:row>
    <x:row r="275">
      <x:c r="A275" s="2"/>
      <x:c r="B275" s="2"/>
      <x:c r="C275" s="2"/>
      <x:c r="D275" s="2"/>
      <x:c r="E275" s="2"/>
      <x:c r="F275" s="2"/>
      <x:c r="G275" s="2"/>
      <x:c r="H275" s="2"/>
    </x:row>
    <x:row r="276">
      <x:c r="A276" s="2"/>
      <x:c r="B276" s="2"/>
      <x:c r="C276" s="2"/>
      <x:c r="D276" s="2"/>
      <x:c r="E276" s="2"/>
      <x:c r="F276" s="2"/>
      <x:c r="G276" s="2"/>
      <x:c r="H276" s="2"/>
    </x:row>
    <x:row r="277">
      <x:c r="A277" s="2"/>
      <x:c r="B277" s="2"/>
      <x:c r="C277" s="2"/>
      <x:c r="D277" s="2"/>
      <x:c r="E277" s="2"/>
      <x:c r="F277" s="2"/>
      <x:c r="G277" s="2"/>
      <x:c r="H277" s="2"/>
    </x:row>
    <x:row r="278">
      <x:c r="A278" s="2"/>
      <x:c r="B278" s="2"/>
      <x:c r="C278" s="2"/>
      <x:c r="D278" s="2"/>
      <x:c r="E278" s="2"/>
      <x:c r="F278" s="2"/>
      <x:c r="G278" s="2"/>
      <x:c r="H278" s="2"/>
    </x:row>
    <x:row r="279">
      <x:c r="A279" s="2"/>
      <x:c r="B279" s="2"/>
      <x:c r="C279" s="2"/>
      <x:c r="D279" s="2"/>
      <x:c r="E279" s="2"/>
      <x:c r="F279" s="2"/>
      <x:c r="G279" s="2"/>
      <x:c r="H279" s="2"/>
    </x:row>
    <x:row r="280">
      <x:c r="A280" s="2"/>
      <x:c r="B280" s="2"/>
      <x:c r="C280" s="2"/>
      <x:c r="D280" s="2"/>
      <x:c r="E280" s="2"/>
      <x:c r="F280" s="2"/>
      <x:c r="G280" s="2"/>
      <x:c r="H280" s="2"/>
    </x:row>
    <x:row r="281">
      <x:c r="A281" s="2"/>
      <x:c r="B281" s="2"/>
      <x:c r="C281" s="2"/>
      <x:c r="D281" s="2"/>
      <x:c r="E281" s="2"/>
      <x:c r="F281" s="2"/>
      <x:c r="G281" s="2"/>
      <x:c r="H281" s="2"/>
    </x:row>
    <x:row r="282">
      <x:c r="A282" s="2"/>
      <x:c r="B282" s="2"/>
      <x:c r="C282" s="2"/>
      <x:c r="D282" s="2"/>
      <x:c r="E282" s="2"/>
      <x:c r="F282" s="2"/>
      <x:c r="G282" s="2"/>
      <x:c r="H282" s="2"/>
    </x:row>
    <x:row r="283">
      <x:c r="A283" s="2"/>
      <x:c r="B283" s="2"/>
      <x:c r="C283" s="2"/>
      <x:c r="D283" s="2"/>
      <x:c r="E283" s="2"/>
      <x:c r="F283" s="2"/>
      <x:c r="G283" s="2"/>
      <x:c r="H283" s="2"/>
    </x:row>
    <x:row r="284">
      <x:c r="A284" s="2"/>
      <x:c r="B284" s="2"/>
      <x:c r="C284" s="2"/>
      <x:c r="D284" s="2"/>
      <x:c r="E284" s="2"/>
      <x:c r="F284" s="2"/>
      <x:c r="G284" s="2"/>
      <x:c r="H284" s="2"/>
    </x:row>
    <x:row r="285">
      <x:c r="A285" s="2"/>
      <x:c r="B285" s="2"/>
      <x:c r="C285" s="2"/>
      <x:c r="D285" s="2"/>
      <x:c r="E285" s="2"/>
      <x:c r="F285" s="2"/>
      <x:c r="G285" s="2"/>
      <x:c r="H285" s="2"/>
    </x:row>
    <x:row r="286">
      <x:c r="A286" s="2"/>
      <x:c r="B286" s="2"/>
      <x:c r="C286" s="2"/>
      <x:c r="D286" s="2"/>
      <x:c r="E286" s="2"/>
      <x:c r="F286" s="2"/>
      <x:c r="G286" s="2"/>
      <x:c r="H286" s="2"/>
    </x:row>
    <x:row r="287">
      <x:c r="A287" s="2"/>
      <x:c r="B287" s="2"/>
      <x:c r="C287" s="2"/>
      <x:c r="D287" s="2"/>
      <x:c r="E287" s="2"/>
      <x:c r="F287" s="2"/>
      <x:c r="G287" s="2"/>
      <x:c r="H287" s="2"/>
    </x:row>
    <x:row r="288">
      <x:c r="A288" s="2"/>
      <x:c r="B288" s="2"/>
      <x:c r="C288" s="2"/>
      <x:c r="D288" s="2"/>
      <x:c r="E288" s="2"/>
      <x:c r="F288" s="2"/>
      <x:c r="G288" s="2"/>
      <x:c r="H288" s="2"/>
    </x:row>
    <x:row r="289">
      <x:c r="A289" s="2"/>
      <x:c r="B289" s="2"/>
      <x:c r="C289" s="2"/>
      <x:c r="D289" s="2"/>
      <x:c r="E289" s="2"/>
      <x:c r="F289" s="2"/>
      <x:c r="G289" s="2"/>
      <x:c r="H289" s="2"/>
    </x:row>
    <x:row r="290">
      <x:c r="A290" s="2"/>
      <x:c r="B290" s="2"/>
      <x:c r="C290" s="2"/>
      <x:c r="D290" s="2"/>
      <x:c r="E290" s="2"/>
      <x:c r="F290" s="2"/>
      <x:c r="G290" s="2"/>
      <x:c r="H290" s="2"/>
    </x:row>
    <x:row r="291">
      <x:c r="A291" s="2"/>
      <x:c r="B291" s="2"/>
      <x:c r="C291" s="2"/>
      <x:c r="D291" s="2"/>
      <x:c r="E291" s="2"/>
      <x:c r="F291" s="2"/>
      <x:c r="G291" s="2"/>
      <x:c r="H291" s="2"/>
    </x:row>
    <x:row r="292">
      <x:c r="A292" s="2"/>
      <x:c r="B292" s="2"/>
      <x:c r="C292" s="2"/>
      <x:c r="D292" s="2"/>
      <x:c r="E292" s="2"/>
      <x:c r="F292" s="2"/>
      <x:c r="G292" s="2"/>
      <x:c r="H292" s="2"/>
    </x:row>
    <x:row r="293">
      <x:c r="A293" s="2"/>
      <x:c r="B293" s="2"/>
      <x:c r="C293" s="2"/>
      <x:c r="D293" s="2"/>
      <x:c r="E293" s="2"/>
      <x:c r="F293" s="2"/>
      <x:c r="G293" s="2"/>
      <x:c r="H293" s="2"/>
    </x:row>
    <x:row r="294">
      <x:c r="A294" s="2"/>
      <x:c r="B294" s="2"/>
      <x:c r="C294" s="2"/>
      <x:c r="D294" s="2"/>
      <x:c r="E294" s="2"/>
      <x:c r="F294" s="2"/>
      <x:c r="G294" s="2"/>
      <x:c r="H294" s="2"/>
    </x:row>
    <x:row r="295">
      <x:c r="A295" s="2"/>
      <x:c r="B295" s="2"/>
      <x:c r="C295" s="2"/>
      <x:c r="D295" s="2"/>
      <x:c r="E295" s="2"/>
      <x:c r="F295" s="2"/>
      <x:c r="G295" s="2"/>
      <x:c r="H295" s="2"/>
    </x:row>
    <x:row r="296">
      <x:c r="A296" s="2"/>
      <x:c r="B296" s="2"/>
      <x:c r="C296" s="2"/>
      <x:c r="D296" s="2"/>
      <x:c r="E296" s="2"/>
      <x:c r="F296" s="2"/>
      <x:c r="G296" s="2"/>
      <x:c r="H296" s="2"/>
    </x:row>
    <x:row r="297">
      <x:c r="A297" s="2"/>
      <x:c r="B297" s="2"/>
      <x:c r="C297" s="2"/>
      <x:c r="D297" s="2"/>
      <x:c r="E297" s="2"/>
      <x:c r="F297" s="2"/>
      <x:c r="G297" s="2"/>
      <x:c r="H297" s="2"/>
    </x:row>
    <x:row r="298">
      <x:c r="A298" s="2"/>
      <x:c r="B298" s="2"/>
      <x:c r="C298" s="2"/>
      <x:c r="D298" s="2"/>
      <x:c r="E298" s="2"/>
      <x:c r="F298" s="2"/>
      <x:c r="G298" s="2"/>
      <x:c r="H298" s="2"/>
    </x:row>
    <x:row r="299">
      <x:c r="A299" s="2"/>
      <x:c r="B299" s="2"/>
      <x:c r="C299" s="2"/>
      <x:c r="D299" s="2"/>
      <x:c r="E299" s="2"/>
      <x:c r="F299" s="2"/>
      <x:c r="G299" s="2"/>
      <x:c r="H299" s="2"/>
    </x:row>
    <x:row r="300">
      <x:c r="A300" s="2"/>
      <x:c r="B300" s="2"/>
      <x:c r="C300" s="2"/>
      <x:c r="D300" s="2"/>
      <x:c r="E300" s="2"/>
      <x:c r="F300" s="2"/>
      <x:c r="G300" s="2"/>
      <x:c r="H300" s="2"/>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FormatPr defaultRowHeight="15"/>
  <x:cols>
    <x:col min="1" max="1" width="21.110000610351562" hidden="0" customWidth="1"/>
    <x:col min="2" max="2" width="11.670000076293945" hidden="0" customWidth="1"/>
    <x:col min="3" max="3" width="13.890000343322754" hidden="0" customWidth="1"/>
    <x:col min="4" max="4" width="13.890000343322754" hidden="0" customWidth="1"/>
    <x:col min="5" max="5" width="13.890000343322754" hidden="0" customWidth="1"/>
    <x:col min="6" max="6" width="13.890000343322754" hidden="0" customWidth="1"/>
    <x:col min="7" max="7" width="46.66999816894531" hidden="0" customWidth="1"/>
    <x:col min="8" max="8" width="23.329999923706055" hidden="0" customWidth="1"/>
    <x:col min="9" max="9" width="35.560001373291016" hidden="0" customWidth="1"/>
    <x:col min="10" max="10" width="24.440000534057617" hidden="0" customWidth="1"/>
    <x:col min="11" max="11" width="13.890000343322754" hidden="0" customWidth="1"/>
    <x:col min="12" max="12" width="13.109999656677246" hidden="0" customWidth="1"/>
    <x:col min="13" max="13" width="13.109999656677246" hidden="0" customWidth="1"/>
  </x:cols>
  <x:sheetData>
    <x:row r="1">
      <x:c r="A1" s="4" t="str">
        <x:v>Scenario Summary</x:v>
      </x:c>
      <x:c r="B1" s="4" t="str">
        <x:v>Scenario Summary</x:v>
      </x:c>
      <x:c r="C1" s="4" t="str">
        <x:v>Scenario Summary</x:v>
      </x:c>
      <x:c r="D1" s="4" t="str">
        <x:v>Scenario Summary</x:v>
      </x:c>
      <x:c r="E1" s="4" t="str">
        <x:v>Scenario Summary</x:v>
      </x:c>
      <x:c r="F1" s="4" t="str">
        <x:v>Scenario Summary</x:v>
      </x:c>
      <x:c r="G1" s="4" t="str">
        <x:v>Scenario Summary</x:v>
      </x:c>
      <x:c r="H1" s="4" t="str">
        <x:v>Scenario Summary</x:v>
      </x:c>
      <x:c r="I1" s="4" t="str">
        <x:v>Scenario Summary</x:v>
      </x:c>
      <x:c r="J1" s="4" t="str">
        <x:v>Scenario Summary</x:v>
      </x:c>
      <x:c r="K1" s="4" t="str">
        <x:v>Scenario Summary</x:v>
      </x:c>
    </x:row>
    <x:row r="2">
      <x:c r="A2" s="6" t="str">
        <x:v>Side-by-side platform estimates for 10, 100, and 1000 platform units. Detail tabs expose the editable assumptions behind each profile.</x:v>
      </x:c>
      <x:c r="B2" s="6" t="str">
        <x:v>Side-by-side platform estimates for 10, 100, and 1000 platform units. Detail tabs expose the editable assumptions behind each profile.</x:v>
      </x:c>
      <x:c r="C2" s="6" t="str">
        <x:v>Side-by-side platform estimates for 10, 100, and 1000 platform units. Detail tabs expose the editable assumptions behind each profile.</x:v>
      </x:c>
      <x:c r="D2" s="6" t="str">
        <x:v>Side-by-side platform estimates for 10, 100, and 1000 platform units. Detail tabs expose the editable assumptions behind each profile.</x:v>
      </x:c>
      <x:c r="E2" s="6" t="str">
        <x:v>Side-by-side platform estimates for 10, 100, and 1000 platform units. Detail tabs expose the editable assumptions behind each profile.</x:v>
      </x:c>
      <x:c r="F2" s="6" t="str">
        <x:v>Side-by-side platform estimates for 10, 100, and 1000 platform units. Detail tabs expose the editable assumptions behind each profile.</x:v>
      </x:c>
      <x:c r="G2" s="6" t="str">
        <x:v>Side-by-side platform estimates for 10, 100, and 1000 platform units. Detail tabs expose the editable assumptions behind each profile.</x:v>
      </x:c>
      <x:c r="H2" s="6" t="str">
        <x:v>Side-by-side platform estimates for 10, 100, and 1000 platform units. Detail tabs expose the editable assumptions behind each profile.</x:v>
      </x:c>
      <x:c r="I2" s="6" t="str">
        <x:v>Side-by-side platform estimates for 10, 100, and 1000 platform units. Detail tabs expose the editable assumptions behind each profile.</x:v>
      </x:c>
      <x:c r="J2" s="6" t="str">
        <x:v>Side-by-side platform estimates for 10, 100, and 1000 platform units. Detail tabs expose the editable assumptions behind each profile.</x:v>
      </x:c>
      <x:c r="K2" s="6" t="str">
        <x:v>Side-by-side platform estimates for 10, 100, and 1000 platform units. Detail tabs expose the editable assumptions behind each profile.</x:v>
      </x:c>
    </x:row>
    <x:row r="3">
      <x:c r="A3" s="2"/>
      <x:c r="B3" s="2"/>
      <x:c r="C3" s="2"/>
      <x:c r="D3" s="2"/>
      <x:c r="E3" s="2"/>
      <x:c r="F3" s="2"/>
      <x:c r="G3" s="2"/>
      <x:c r="H3" s="2"/>
      <x:c r="I3" s="2"/>
      <x:c r="J3" s="2"/>
      <x:c r="K3" s="2"/>
    </x:row>
    <x:row r="4">
      <x:c r="A4" s="2"/>
      <x:c r="B4" s="2"/>
      <x:c r="C4" s="2"/>
      <x:c r="D4" s="2"/>
      <x:c r="E4" s="2"/>
      <x:c r="F4" s="2"/>
      <x:c r="G4" s="2"/>
      <x:c r="H4" s="2"/>
      <x:c r="I4" s="2"/>
      <x:c r="J4" s="2"/>
      <x:c r="K4" s="2"/>
    </x:row>
    <x:row r="5">
      <x:c r="A5" s="9" t="str">
        <x:v>Platform</x:v>
      </x:c>
      <x:c r="B5" s="9" t="str">
        <x:v>Devices / units</x:v>
      </x:c>
      <x:c r="C5" s="9" t="str">
        <x:v>Active MTS</x:v>
      </x:c>
      <x:c r="D5" s="9" t="str">
        <x:v>DP / minute</x:v>
      </x:c>
      <x:c r="E5" s="9" t="str">
        <x:v>DP / day</x:v>
      </x:c>
      <x:c r="F5" s="9" t="str">
        <x:v>DP / month</x:v>
      </x:c>
      <x:c r="G5" s="9" t="str">
        <x:v>Profile</x:v>
      </x:c>
      <x:c r="H5" s="9" t="str">
        <x:v>Detail sheet</x:v>
      </x:c>
      <x:c r="I5" s="2"/>
      <x:c r="J5" s="9" t="str">
        <x:v>100-unit Active MTS</x:v>
      </x:c>
      <x:c r="K5" s="9"/>
    </x:row>
    <x:row r="6">
      <x:c r="A6" s="2" t="str">
        <x:v>NX-OS Switches</x:v>
      </x:c>
      <x:c r="B6" s="12" t="n">
        <x:v>10</x:v>
      </x:c>
      <x:c r="C6" s="12" t="n">
        <x:f>'Scenario NX-OS'!$B$7</x:f>
        <x:v>10320</x:v>
      </x:c>
      <x:c r="D6" s="12" t="n">
        <x:f>'Scenario NX-OS'!$C$7</x:f>
        <x:v>10320</x:v>
      </x:c>
      <x:c r="E6" s="12" t="n">
        <x:f>'Scenario NX-OS'!$D$7</x:f>
        <x:v>14860800</x:v>
      </x:c>
      <x:c r="F6" s="12" t="n">
        <x:f>'Scenario NX-OS'!$E$7</x:f>
        <x:v>452325600</x:v>
      </x:c>
      <x:c r="G6" s="2" t="str">
        <x:v>Switch-oriented SSH profile. Core and interface-rate rows are enabled; larger troubleshooting groups are editable and off by default.</x:v>
      </x:c>
      <x:c r="H6" s="2" t="str">
        <x:v>Scenario NX-OS</x:v>
      </x:c>
      <x:c r="I6" s="2"/>
      <x:c r="J6" s="2" t="str">
        <x:v>NX-OS Switches</x:v>
      </x:c>
      <x:c r="K6" s="12" t="n">
        <x:f>'Scenario NX-OS'!$B$8</x:f>
        <x:v>103200</x:v>
      </x:c>
    </x:row>
    <x:row r="7">
      <x:c r="A7" s="2" t="str">
        <x:v>NX-OS Switches</x:v>
      </x:c>
      <x:c r="B7" s="12" t="n">
        <x:v>100</x:v>
      </x:c>
      <x:c r="C7" s="12" t="n">
        <x:f>'Scenario NX-OS'!$B$8</x:f>
        <x:v>103200</x:v>
      </x:c>
      <x:c r="D7" s="12" t="n">
        <x:f>'Scenario NX-OS'!$C$8</x:f>
        <x:v>103200</x:v>
      </x:c>
      <x:c r="E7" s="12" t="n">
        <x:f>'Scenario NX-OS'!$D$8</x:f>
        <x:v>148608000</x:v>
      </x:c>
      <x:c r="F7" s="12" t="n">
        <x:f>'Scenario NX-OS'!$E$8</x:f>
        <x:v>4523256000</x:v>
      </x:c>
      <x:c r="G7" s="2" t="str">
        <x:v>Switch-oriented SSH profile. Core and interface-rate rows are enabled; larger troubleshooting groups are editable and off by default.</x:v>
      </x:c>
      <x:c r="H7" s="2" t="str">
        <x:v>Scenario NX-OS</x:v>
      </x:c>
      <x:c r="I7" s="2"/>
      <x:c r="J7" s="2" t="str">
        <x:v>IOS XE Switches</x:v>
      </x:c>
      <x:c r="K7" s="12" t="n">
        <x:f>'Scenario IOS XE'!$B$8</x:f>
        <x:v>103200</x:v>
      </x:c>
    </x:row>
    <x:row r="8">
      <x:c r="A8" s="2" t="str">
        <x:v>NX-OS Switches</x:v>
      </x:c>
      <x:c r="B8" s="12" t="n">
        <x:v>1000</x:v>
      </x:c>
      <x:c r="C8" s="12" t="n">
        <x:f>'Scenario NX-OS'!$B$9</x:f>
        <x:v>1032000</x:v>
      </x:c>
      <x:c r="D8" s="12" t="n">
        <x:f>'Scenario NX-OS'!$C$9</x:f>
        <x:v>1032000</x:v>
      </x:c>
      <x:c r="E8" s="12" t="n">
        <x:f>'Scenario NX-OS'!$D$9</x:f>
        <x:v>1486080000</x:v>
      </x:c>
      <x:c r="F8" s="12" t="n">
        <x:f>'Scenario NX-OS'!$E$9</x:f>
        <x:v>45232560000</x:v>
      </x:c>
      <x:c r="G8" s="2" t="str">
        <x:v>Switch-oriented SSH profile. Core and interface-rate rows are enabled; larger troubleshooting groups are editable and off by default.</x:v>
      </x:c>
      <x:c r="H8" s="2" t="str">
        <x:v>Scenario NX-OS</x:v>
      </x:c>
      <x:c r="I8" s="2"/>
      <x:c r="J8" s="2" t="str">
        <x:v>Meraki Devices</x:v>
      </x:c>
      <x:c r="K8" s="12" t="n">
        <x:f>'Scenario Meraki'!$B$8</x:f>
        <x:v>42336</x:v>
      </x:c>
    </x:row>
    <x:row r="9">
      <x:c r="A9" s="2" t="str">
        <x:v>IOS XE Switches</x:v>
      </x:c>
      <x:c r="B9" s="12" t="n">
        <x:v>10</x:v>
      </x:c>
      <x:c r="C9" s="12" t="n">
        <x:f>'Scenario IOS XE'!$B$7</x:f>
        <x:v>10320</x:v>
      </x:c>
      <x:c r="D9" s="12" t="n">
        <x:f>'Scenario IOS XE'!$C$7</x:f>
        <x:v>10320</x:v>
      </x:c>
      <x:c r="E9" s="12" t="n">
        <x:f>'Scenario IOS XE'!$D$7</x:f>
        <x:v>14860800</x:v>
      </x:c>
      <x:c r="F9" s="12" t="n">
        <x:f>'Scenario IOS XE'!$E$7</x:f>
        <x:v>452325600</x:v>
      </x:c>
      <x:c r="G9" s="2" t="str">
        <x:v>Switch-oriented SSH profile. Core and interface-rate rows are enabled; IOS XE QFP rows remain off unless modeling edge/router dataplane collection.</x:v>
      </x:c>
      <x:c r="H9" s="2" t="str">
        <x:v>Scenario IOS XE</x:v>
      </x:c>
      <x:c r="I9" s="2"/>
      <x:c r="J9" s="2" t="str">
        <x:v>Intersight Accounts</x:v>
      </x:c>
      <x:c r="K9" s="12" t="n">
        <x:f>'Scenario Intersight'!$B$8</x:f>
        <x:v>5872</x:v>
      </x:c>
    </x:row>
    <x:row r="10">
      <x:c r="A10" s="2" t="str">
        <x:v>IOS XE Switches</x:v>
      </x:c>
      <x:c r="B10" s="12" t="n">
        <x:v>100</x:v>
      </x:c>
      <x:c r="C10" s="12" t="n">
        <x:f>'Scenario IOS XE'!$B$8</x:f>
        <x:v>103200</x:v>
      </x:c>
      <x:c r="D10" s="12" t="n">
        <x:f>'Scenario IOS XE'!$C$8</x:f>
        <x:v>103200</x:v>
      </x:c>
      <x:c r="E10" s="12" t="n">
        <x:f>'Scenario IOS XE'!$D$8</x:f>
        <x:v>148608000</x:v>
      </x:c>
      <x:c r="F10" s="12" t="n">
        <x:f>'Scenario IOS XE'!$E$8</x:f>
        <x:v>4523256000</x:v>
      </x:c>
      <x:c r="G10" s="2" t="str">
        <x:v>Switch-oriented SSH profile. Core and interface-rate rows are enabled; IOS XE QFP rows remain off unless modeling edge/router dataplane collection.</x:v>
      </x:c>
      <x:c r="H10" s="2" t="str">
        <x:v>Scenario IOS XE</x:v>
      </x:c>
      <x:c r="I10" s="2"/>
      <x:c r="J10" s="2" t="str">
        <x:v>Catalyst Center</x:v>
      </x:c>
      <x:c r="K10" s="12" t="n">
        <x:f>'Scenario Catalyst Center'!$B$8</x:f>
        <x:v>1836</x:v>
      </x:c>
    </x:row>
    <x:row r="11">
      <x:c r="A11" s="2" t="str">
        <x:v>IOS XE Switches</x:v>
      </x:c>
      <x:c r="B11" s="12" t="n">
        <x:v>1000</x:v>
      </x:c>
      <x:c r="C11" s="12" t="n">
        <x:f>'Scenario IOS XE'!$B$9</x:f>
        <x:v>1032000</x:v>
      </x:c>
      <x:c r="D11" s="12" t="n">
        <x:f>'Scenario IOS XE'!$C$9</x:f>
        <x:v>1032000</x:v>
      </x:c>
      <x:c r="E11" s="12" t="n">
        <x:f>'Scenario IOS XE'!$D$9</x:f>
        <x:v>1486080000</x:v>
      </x:c>
      <x:c r="F11" s="12" t="n">
        <x:f>'Scenario IOS XE'!$E$9</x:f>
        <x:v>45232560000</x:v>
      </x:c>
      <x:c r="G11" s="2" t="str">
        <x:v>Switch-oriented SSH profile. Core and interface-rate rows are enabled; IOS XE QFP rows remain off unless modeling edge/router dataplane collection.</x:v>
      </x:c>
      <x:c r="H11" s="2" t="str">
        <x:v>Scenario IOS XE</x:v>
      </x:c>
      <x:c r="I11" s="2"/>
      <x:c r="J11" s="2" t="str">
        <x:v>Catalyst 9800 WLCs</x:v>
      </x:c>
      <x:c r="K11" s="12" t="n">
        <x:f>'Scenario Catalyst 9800'!$B$8</x:f>
        <x:v>5984</x:v>
      </x:c>
    </x:row>
    <x:row r="12">
      <x:c r="A12" s="2" t="str">
        <x:v>Meraki Devices</x:v>
      </x:c>
      <x:c r="B12" s="12" t="n">
        <x:v>10</x:v>
      </x:c>
      <x:c r="C12" s="12" t="n">
        <x:f>'Scenario Meraki'!$B$7</x:f>
        <x:v>4266</x:v>
      </x:c>
      <x:c r="D12" s="12" t="n">
        <x:f>'Scenario Meraki'!$C$7</x:f>
        <x:v>4266</x:v>
      </x:c>
      <x:c r="E12" s="12" t="n">
        <x:f>'Scenario Meraki'!$D$7</x:f>
        <x:v>6143040</x:v>
      </x:c>
      <x:c r="F12" s="12" t="n">
        <x:f>'Scenario Meraki'!$E$7</x:f>
        <x:v>186978780</x:v>
      </x:c>
      <x:c r="G12" s="2" t="str">
        <x:v>Meraki Dashboard API profile. Switch-oriented rows are enabled; wireless, VPN, appliance, and optic rows are editable and off by default.</x:v>
      </x:c>
      <x:c r="H12" s="2" t="str">
        <x:v>Scenario Meraki</x:v>
      </x:c>
      <x:c r="I12" s="2"/>
      <x:c r="J12" s="2" t="str">
        <x:v>SD-WAN Devices</x:v>
      </x:c>
      <x:c r="K12" s="12" t="n">
        <x:f>'Scenario SD-WAN'!$B$8</x:f>
        <x:v>8072</x:v>
      </x:c>
    </x:row>
    <x:row r="13">
      <x:c r="A13" s="2" t="str">
        <x:v>Meraki Devices</x:v>
      </x:c>
      <x:c r="B13" s="12" t="n">
        <x:v>100</x:v>
      </x:c>
      <x:c r="C13" s="12" t="n">
        <x:f>'Scenario Meraki'!$B$8</x:f>
        <x:v>42336</x:v>
      </x:c>
      <x:c r="D13" s="12" t="n">
        <x:f>'Scenario Meraki'!$C$8</x:f>
        <x:v>42336</x:v>
      </x:c>
      <x:c r="E13" s="12" t="n">
        <x:f>'Scenario Meraki'!$D$8</x:f>
        <x:v>60963840</x:v>
      </x:c>
      <x:c r="F13" s="12" t="n">
        <x:f>'Scenario Meraki'!$E$8</x:f>
        <x:v>1855586880</x:v>
      </x:c>
      <x:c r="G13" s="2" t="str">
        <x:v>Meraki Dashboard API profile. Switch-oriented rows are enabled; wireless, VPN, appliance, and optic rows are editable and off by default.</x:v>
      </x:c>
      <x:c r="H13" s="2" t="str">
        <x:v>Scenario Meraki</x:v>
      </x:c>
      <x:c r="I13" s="2"/>
      <x:c r="J13" s="2" t="str">
        <x:v>Nexus Dashboard Fabrics</x:v>
      </x:c>
      <x:c r="K13" s="12" t="n">
        <x:f>'Scenario Nexus Dashboard'!$B$8</x:f>
        <x:v>848</x:v>
      </x:c>
    </x:row>
    <x:row r="14">
      <x:c r="A14" s="2" t="str">
        <x:v>Meraki Devices</x:v>
      </x:c>
      <x:c r="B14" s="12" t="n">
        <x:v>1000</x:v>
      </x:c>
      <x:c r="C14" s="12" t="n">
        <x:f>'Scenario Meraki'!$B$9</x:f>
        <x:v>423036</x:v>
      </x:c>
      <x:c r="D14" s="12" t="n">
        <x:f>'Scenario Meraki'!$C$9</x:f>
        <x:v>423036</x:v>
      </x:c>
      <x:c r="E14" s="12" t="n">
        <x:f>'Scenario Meraki'!$D$9</x:f>
        <x:v>609171840</x:v>
      </x:c>
      <x:c r="F14" s="12" t="n">
        <x:f>'Scenario Meraki'!$E$9</x:f>
        <x:v>18541667880</x:v>
      </x:c>
      <x:c r="G14" s="2" t="str">
        <x:v>Meraki Dashboard API profile. Switch-oriented rows are enabled; wireless, VPN, appliance, and optic rows are editable and off by default.</x:v>
      </x:c>
      <x:c r="H14" s="2" t="str">
        <x:v>Scenario Meraki</x:v>
      </x:c>
      <x:c r="I14" s="2"/>
      <x:c r="J14" s="2" t="str">
        <x:v>ACI Fabrics</x:v>
      </x:c>
      <x:c r="K14" s="12" t="n">
        <x:f>'Scenario ACI'!$B$8</x:f>
        <x:v>840</x:v>
      </x:c>
    </x:row>
    <x:row r="15">
      <x:c r="A15" s="2" t="str">
        <x:v>Intersight Accounts</x:v>
      </x:c>
      <x:c r="B15" s="12" t="n">
        <x:v>10</x:v>
      </x:c>
      <x:c r="C15" s="12" t="n">
        <x:f>'Scenario Intersight'!$B$7</x:f>
        <x:v>652</x:v>
      </x:c>
      <x:c r="D15" s="12" t="n">
        <x:f>'Scenario Intersight'!$C$7</x:f>
        <x:v>652</x:v>
      </x:c>
      <x:c r="E15" s="12" t="n">
        <x:f>'Scenario Intersight'!$D$7</x:f>
        <x:v>938880</x:v>
      </x:c>
      <x:c r="F15" s="12" t="n">
        <x:f>'Scenario Intersight'!$E$7</x:f>
        <x:v>28577160</x:v>
      </x:c>
      <x:c r="G15" s="2" t="str">
        <x:v>Intersight API profile with inventory, incidents/events, audit counts, resource fields, and telemetry groups separated for tuning.</x:v>
      </x:c>
      <x:c r="H15" s="2" t="str">
        <x:v>Scenario Intersight</x:v>
      </x:c>
      <x:c r="I15" s="2"/>
      <x:c r="J15" s="2" t="str">
        <x:v>FMC Managed Firewalls</x:v>
      </x:c>
      <x:c r="K15" s="12" t="n">
        <x:f>'Scenario FMC'!$B$8</x:f>
        <x:v>5742</x:v>
      </x:c>
    </x:row>
    <x:row r="16">
      <x:c r="A16" s="2" t="str">
        <x:v>Intersight Accounts</x:v>
      </x:c>
      <x:c r="B16" s="12" t="n">
        <x:v>100</x:v>
      </x:c>
      <x:c r="C16" s="12" t="n">
        <x:f>'Scenario Intersight'!$B$8</x:f>
        <x:v>5872</x:v>
      </x:c>
      <x:c r="D16" s="12" t="n">
        <x:f>'Scenario Intersight'!$C$8</x:f>
        <x:v>5872</x:v>
      </x:c>
      <x:c r="E16" s="12" t="n">
        <x:f>'Scenario Intersight'!$D$8</x:f>
        <x:v>8455680</x:v>
      </x:c>
      <x:c r="F16" s="12" t="n">
        <x:f>'Scenario Intersight'!$E$8</x:f>
        <x:v>257369760</x:v>
      </x:c>
      <x:c r="G16" s="2" t="str">
        <x:v>Intersight API profile with inventory, incidents/events, audit counts, resource fields, and telemetry groups separated for tuning.</x:v>
      </x:c>
      <x:c r="H16" s="2" t="str">
        <x:v>Scenario Intersight</x:v>
      </x:c>
      <x:c r="I16" s="2"/>
      <x:c r="J16" s="2" t="str">
        <x:v>ISE Endpoints</x:v>
      </x:c>
      <x:c r="K16" s="12" t="n">
        <x:f>'Scenario ISE'!$B$8</x:f>
        <x:v>2696</x:v>
      </x:c>
    </x:row>
    <x:row r="17">
      <x:c r="A17" s="2" t="str">
        <x:v>Intersight Accounts</x:v>
      </x:c>
      <x:c r="B17" s="12" t="n">
        <x:v>1000</x:v>
      </x:c>
      <x:c r="C17" s="12" t="n">
        <x:f>'Scenario Intersight'!$B$9</x:f>
        <x:v>58072</x:v>
      </x:c>
      <x:c r="D17" s="12" t="n">
        <x:f>'Scenario Intersight'!$C$9</x:f>
        <x:v>58072</x:v>
      </x:c>
      <x:c r="E17" s="12" t="n">
        <x:f>'Scenario Intersight'!$D$9</x:f>
        <x:v>83623680</x:v>
      </x:c>
      <x:c r="F17" s="12" t="n">
        <x:f>'Scenario Intersight'!$E$9</x:f>
        <x:v>2545295760</x:v>
      </x:c>
      <x:c r="G17" s="2" t="str">
        <x:v>Intersight API profile with inventory, incidents/events, audit counts, resource fields, and telemetry groups separated for tuning.</x:v>
      </x:c>
      <x:c r="H17" s="2" t="str">
        <x:v>Scenario Intersight</x:v>
      </x:c>
      <x:c r="I17" s="2"/>
      <x:c r="J17" s="2" t="str">
        <x:v>IOS XR Routers</x:v>
      </x:c>
      <x:c r="K17" s="12" t="n">
        <x:f>'Scenario IOS XR'!$B$8</x:f>
        <x:v>217632</x:v>
      </x:c>
    </x:row>
    <x:row r="18">
      <x:c r="A18" s="2" t="str">
        <x:v>Catalyst Center</x:v>
      </x:c>
      <x:c r="B18" s="12" t="n">
        <x:v>10</x:v>
      </x:c>
      <x:c r="C18" s="12" t="n">
        <x:f>'Scenario Catalyst Center'!$B$7</x:f>
        <x:v>216</x:v>
      </x:c>
      <x:c r="D18" s="12" t="n">
        <x:f>'Scenario Catalyst Center'!$C$7</x:f>
        <x:v>216</x:v>
      </x:c>
      <x:c r="E18" s="12" t="n">
        <x:f>'Scenario Catalyst Center'!$D$7</x:f>
        <x:v>311040</x:v>
      </x:c>
      <x:c r="F18" s="12" t="n">
        <x:f>'Scenario Catalyst Center'!$E$7</x:f>
        <x:v>9467280</x:v>
      </x:c>
      <x:c r="G18" s="2" t="str">
        <x:v>Catalyst Center Assurance profile covering inventory, reachability, health, topology, issues, and optional detail targets.</x:v>
      </x:c>
      <x:c r="H18" s="2" t="str">
        <x:v>Scenario Catalyst Center</x:v>
      </x:c>
      <x:c r="I18" s="2"/>
      <x:c r="J18" s="2"/>
      <x:c r="K18" s="2"/>
    </x:row>
    <x:row r="19">
      <x:c r="A19" s="2" t="str">
        <x:v>Catalyst Center</x:v>
      </x:c>
      <x:c r="B19" s="12" t="n">
        <x:v>100</x:v>
      </x:c>
      <x:c r="C19" s="12" t="n">
        <x:f>'Scenario Catalyst Center'!$B$8</x:f>
        <x:v>1836</x:v>
      </x:c>
      <x:c r="D19" s="12" t="n">
        <x:f>'Scenario Catalyst Center'!$C$8</x:f>
        <x:v>1836</x:v>
      </x:c>
      <x:c r="E19" s="12" t="n">
        <x:f>'Scenario Catalyst Center'!$D$8</x:f>
        <x:v>2643840</x:v>
      </x:c>
      <x:c r="F19" s="12" t="n">
        <x:f>'Scenario Catalyst Center'!$E$8</x:f>
        <x:v>80471880</x:v>
      </x:c>
      <x:c r="G19" s="2" t="str">
        <x:v>Catalyst Center Assurance profile covering inventory, reachability, health, topology, issues, and optional detail targets.</x:v>
      </x:c>
      <x:c r="H19" s="2" t="str">
        <x:v>Scenario Catalyst Center</x:v>
      </x:c>
      <x:c r="I19" s="2"/>
      <x:c r="J19" s="2"/>
      <x:c r="K19" s="2"/>
    </x:row>
    <x:row r="20">
      <x:c r="A20" s="2" t="str">
        <x:v>Catalyst Center</x:v>
      </x:c>
      <x:c r="B20" s="12" t="n">
        <x:v>1000</x:v>
      </x:c>
      <x:c r="C20" s="12" t="n">
        <x:f>'Scenario Catalyst Center'!$B$9</x:f>
        <x:v>18036</x:v>
      </x:c>
      <x:c r="D20" s="12" t="n">
        <x:f>'Scenario Catalyst Center'!$C$9</x:f>
        <x:v>18036</x:v>
      </x:c>
      <x:c r="E20" s="12" t="n">
        <x:f>'Scenario Catalyst Center'!$D$9</x:f>
        <x:v>25971840</x:v>
      </x:c>
      <x:c r="F20" s="12" t="n">
        <x:f>'Scenario Catalyst Center'!$E$9</x:f>
        <x:v>790517880</x:v>
      </x:c>
      <x:c r="G20" s="2" t="str">
        <x:v>Catalyst Center Assurance profile covering inventory, reachability, health, topology, issues, and optional detail targets.</x:v>
      </x:c>
      <x:c r="H20" s="2" t="str">
        <x:v>Scenario Catalyst Center</x:v>
      </x:c>
      <x:c r="I20" s="2"/>
      <x:c r="J20" s="2"/>
      <x:c r="K20" s="2"/>
    </x:row>
    <x:row r="21">
      <x:c r="A21" s="2" t="str">
        <x:v>Catalyst 9800 WLCs</x:v>
      </x:c>
      <x:c r="B21" s="12" t="n">
        <x:v>10</x:v>
      </x:c>
      <x:c r="C21" s="12" t="n">
        <x:f>'Scenario Catalyst 9800'!$B$7</x:f>
        <x:v>1124</x:v>
      </x:c>
      <x:c r="D21" s="12" t="n">
        <x:f>'Scenario Catalyst 9800'!$C$7</x:f>
        <x:v>1124</x:v>
      </x:c>
      <x:c r="E21" s="12" t="n">
        <x:f>'Scenario Catalyst 9800'!$D$7</x:f>
        <x:v>1618560</x:v>
      </x:c>
      <x:c r="F21" s="12" t="n">
        <x:f>'Scenario Catalyst 9800'!$E$7</x:f>
        <x:v>49264920</x:v>
      </x:c>
      <x:c r="G21" s="2" t="str">
        <x:v>Direct Catalyst 9800 WLC gNMI/MDT profile. Safe default path groups are enabled; client detail and neighbor-heavy paths are editable and off by default.</x:v>
      </x:c>
      <x:c r="H21" s="2" t="str">
        <x:v>Scenario Catalyst 9800</x:v>
      </x:c>
      <x:c r="I21" s="2"/>
      <x:c r="J21" s="2"/>
      <x:c r="K21" s="2"/>
    </x:row>
    <x:row r="22">
      <x:c r="A22" s="2" t="str">
        <x:v>Catalyst 9800 WLCs</x:v>
      </x:c>
      <x:c r="B22" s="12" t="n">
        <x:v>100</x:v>
      </x:c>
      <x:c r="C22" s="12" t="n">
        <x:f>'Scenario Catalyst 9800'!$B$8</x:f>
        <x:v>5984</x:v>
      </x:c>
      <x:c r="D22" s="12" t="n">
        <x:f>'Scenario Catalyst 9800'!$C$8</x:f>
        <x:v>5984</x:v>
      </x:c>
      <x:c r="E22" s="12" t="n">
        <x:f>'Scenario Catalyst 9800'!$D$8</x:f>
        <x:v>8616960</x:v>
      </x:c>
      <x:c r="F22" s="12" t="n">
        <x:f>'Scenario Catalyst 9800'!$E$8</x:f>
        <x:v>262278720</x:v>
      </x:c>
      <x:c r="G22" s="2" t="str">
        <x:v>Direct Catalyst 9800 WLC gNMI/MDT profile. Safe default path groups are enabled; client detail and neighbor-heavy paths are editable and off by default.</x:v>
      </x:c>
      <x:c r="H22" s="2" t="str">
        <x:v>Scenario Catalyst 9800</x:v>
      </x:c>
      <x:c r="I22" s="2"/>
      <x:c r="J22" s="2"/>
      <x:c r="K22" s="2"/>
    </x:row>
    <x:row r="23">
      <x:c r="A23" s="2" t="str">
        <x:v>Catalyst 9800 WLCs</x:v>
      </x:c>
      <x:c r="B23" s="12" t="n">
        <x:v>1000</x:v>
      </x:c>
      <x:c r="C23" s="12" t="n">
        <x:f>'Scenario Catalyst 9800'!$B$9</x:f>
        <x:v>54584</x:v>
      </x:c>
      <x:c r="D23" s="12" t="n">
        <x:f>'Scenario Catalyst 9800'!$C$9</x:f>
        <x:v>54584</x:v>
      </x:c>
      <x:c r="E23" s="12" t="n">
        <x:f>'Scenario Catalyst 9800'!$D$9</x:f>
        <x:v>78600960</x:v>
      </x:c>
      <x:c r="F23" s="12" t="n">
        <x:f>'Scenario Catalyst 9800'!$E$9</x:f>
        <x:v>2392416720</x:v>
      </x:c>
      <x:c r="G23" s="2" t="str">
        <x:v>Direct Catalyst 9800 WLC gNMI/MDT profile. Safe default path groups are enabled; client detail and neighbor-heavy paths are editable and off by default.</x:v>
      </x:c>
      <x:c r="H23" s="2" t="str">
        <x:v>Scenario Catalyst 9800</x:v>
      </x:c>
      <x:c r="I23" s="2"/>
      <x:c r="J23" s="2"/>
      <x:c r="K23" s="2"/>
    </x:row>
    <x:row r="24">
      <x:c r="A24" s="2" t="str">
        <x:v>SD-WAN Devices</x:v>
      </x:c>
      <x:c r="B24" s="12" t="n">
        <x:v>10</x:v>
      </x:c>
      <x:c r="C24" s="12" t="n">
        <x:f>'Scenario SD-WAN'!$B$7</x:f>
        <x:v>872</x:v>
      </x:c>
      <x:c r="D24" s="12" t="n">
        <x:f>'Scenario SD-WAN'!$C$7</x:f>
        <x:v>872</x:v>
      </x:c>
      <x:c r="E24" s="12" t="n">
        <x:f>'Scenario SD-WAN'!$D$7</x:f>
        <x:v>1255680</x:v>
      </x:c>
      <x:c r="F24" s="12" t="n">
        <x:f>'Scenario SD-WAN'!$E$7</x:f>
        <x:v>38219760</x:v>
      </x:c>
      <x:c r="G24" s="2" t="str">
        <x:v>Catalyst SD-WAN Manager profile. Default API groups are enabled while realtime, flow, security, NWPI, and other high-cardinality groups remain editable.</x:v>
      </x:c>
      <x:c r="H24" s="2" t="str">
        <x:v>Scenario SD-WAN</x:v>
      </x:c>
      <x:c r="I24" s="2"/>
      <x:c r="J24" s="2"/>
      <x:c r="K24" s="2"/>
    </x:row>
    <x:row r="25">
      <x:c r="A25" s="2" t="str">
        <x:v>SD-WAN Devices</x:v>
      </x:c>
      <x:c r="B25" s="12" t="n">
        <x:v>100</x:v>
      </x:c>
      <x:c r="C25" s="12" t="n">
        <x:f>'Scenario SD-WAN'!$B$8</x:f>
        <x:v>8072</x:v>
      </x:c>
      <x:c r="D25" s="12" t="n">
        <x:f>'Scenario SD-WAN'!$C$8</x:f>
        <x:v>8072</x:v>
      </x:c>
      <x:c r="E25" s="12" t="n">
        <x:f>'Scenario SD-WAN'!$D$8</x:f>
        <x:v>11623680</x:v>
      </x:c>
      <x:c r="F25" s="12" t="n">
        <x:f>'Scenario SD-WAN'!$E$8</x:f>
        <x:v>353795760</x:v>
      </x:c>
      <x:c r="G25" s="2" t="str">
        <x:v>Catalyst SD-WAN Manager profile. Default API groups are enabled while realtime, flow, security, NWPI, and other high-cardinality groups remain editable.</x:v>
      </x:c>
      <x:c r="H25" s="2" t="str">
        <x:v>Scenario SD-WAN</x:v>
      </x:c>
      <x:c r="I25" s="2"/>
      <x:c r="J25" s="2"/>
      <x:c r="K25" s="2"/>
    </x:row>
    <x:row r="26">
      <x:c r="A26" s="2" t="str">
        <x:v>SD-WAN Devices</x:v>
      </x:c>
      <x:c r="B26" s="12" t="n">
        <x:v>1000</x:v>
      </x:c>
      <x:c r="C26" s="12" t="n">
        <x:f>'Scenario SD-WAN'!$B$9</x:f>
        <x:v>80072</x:v>
      </x:c>
      <x:c r="D26" s="12" t="n">
        <x:f>'Scenario SD-WAN'!$C$9</x:f>
        <x:v>80072</x:v>
      </x:c>
      <x:c r="E26" s="12" t="n">
        <x:f>'Scenario SD-WAN'!$D$9</x:f>
        <x:v>115303680</x:v>
      </x:c>
      <x:c r="F26" s="12" t="n">
        <x:f>'Scenario SD-WAN'!$E$9</x:f>
        <x:v>3509555760</x:v>
      </x:c>
      <x:c r="G26" s="2" t="str">
        <x:v>Catalyst SD-WAN Manager profile. Default API groups are enabled while realtime, flow, security, NWPI, and other high-cardinality groups remain editable.</x:v>
      </x:c>
      <x:c r="H26" s="2" t="str">
        <x:v>Scenario SD-WAN</x:v>
      </x:c>
      <x:c r="I26" s="2"/>
      <x:c r="J26" s="2"/>
      <x:c r="K26" s="2"/>
    </x:row>
    <x:row r="27">
      <x:c r="A27" s="2" t="str">
        <x:v>Nexus Dashboard Fabrics</x:v>
      </x:c>
      <x:c r="B27" s="12" t="n">
        <x:v>10</x:v>
      </x:c>
      <x:c r="C27" s="12" t="n">
        <x:f>'Scenario Nexus Dashboard'!$B$7</x:f>
        <x:v>128</x:v>
      </x:c>
      <x:c r="D27" s="12" t="n">
        <x:f>'Scenario Nexus Dashboard'!$C$7</x:f>
        <x:v>128</x:v>
      </x:c>
      <x:c r="E27" s="12" t="n">
        <x:f>'Scenario Nexus Dashboard'!$D$7</x:f>
        <x:v>184320</x:v>
      </x:c>
      <x:c r="F27" s="12" t="n">
        <x:f>'Scenario Nexus Dashboard'!$E$7</x:f>
        <x:v>5610240</x:v>
      </x:c>
      <x:c r="G27" s="2" t="str">
        <x:v>Nexus Dashboard, NDFC, Insights, Orchestrator, and Data Broker profile with controller resources and anomaly/service status groups.</x:v>
      </x:c>
      <x:c r="H27" s="2" t="str">
        <x:v>Scenario Nexus Dashboard</x:v>
      </x:c>
      <x:c r="I27" s="2"/>
      <x:c r="J27" s="2"/>
      <x:c r="K27" s="2"/>
    </x:row>
    <x:row r="28">
      <x:c r="A28" s="2" t="str">
        <x:v>Nexus Dashboard Fabrics</x:v>
      </x:c>
      <x:c r="B28" s="12" t="n">
        <x:v>100</x:v>
      </x:c>
      <x:c r="C28" s="12" t="n">
        <x:f>'Scenario Nexus Dashboard'!$B$8</x:f>
        <x:v>848</x:v>
      </x:c>
      <x:c r="D28" s="12" t="n">
        <x:f>'Scenario Nexus Dashboard'!$C$8</x:f>
        <x:v>848</x:v>
      </x:c>
      <x:c r="E28" s="12" t="n">
        <x:f>'Scenario Nexus Dashboard'!$D$8</x:f>
        <x:v>1221120</x:v>
      </x:c>
      <x:c r="F28" s="12" t="n">
        <x:f>'Scenario Nexus Dashboard'!$E$8</x:f>
        <x:v>37167840</x:v>
      </x:c>
      <x:c r="G28" s="2" t="str">
        <x:v>Nexus Dashboard, NDFC, Insights, Orchestrator, and Data Broker profile with controller resources and anomaly/service status groups.</x:v>
      </x:c>
      <x:c r="H28" s="2" t="str">
        <x:v>Scenario Nexus Dashboard</x:v>
      </x:c>
      <x:c r="I28" s="2"/>
      <x:c r="J28" s="2"/>
      <x:c r="K28" s="2"/>
    </x:row>
    <x:row r="29">
      <x:c r="A29" s="2" t="str">
        <x:v>Nexus Dashboard Fabrics</x:v>
      </x:c>
      <x:c r="B29" s="12" t="n">
        <x:v>1000</x:v>
      </x:c>
      <x:c r="C29" s="12" t="n">
        <x:f>'Scenario Nexus Dashboard'!$B$9</x:f>
        <x:v>8048</x:v>
      </x:c>
      <x:c r="D29" s="12" t="n">
        <x:f>'Scenario Nexus Dashboard'!$C$9</x:f>
        <x:v>8048</x:v>
      </x:c>
      <x:c r="E29" s="12" t="n">
        <x:f>'Scenario Nexus Dashboard'!$D$9</x:f>
        <x:v>11589120</x:v>
      </x:c>
      <x:c r="F29" s="12" t="n">
        <x:f>'Scenario Nexus Dashboard'!$E$9</x:f>
        <x:v>352743840</x:v>
      </x:c>
      <x:c r="G29" s="2" t="str">
        <x:v>Nexus Dashboard, NDFC, Insights, Orchestrator, and Data Broker profile with controller resources and anomaly/service status groups.</x:v>
      </x:c>
      <x:c r="H29" s="2" t="str">
        <x:v>Scenario Nexus Dashboard</x:v>
      </x:c>
      <x:c r="I29" s="2"/>
      <x:c r="J29" s="2"/>
      <x:c r="K29" s="2"/>
    </x:row>
    <x:row r="30">
      <x:c r="A30" s="2" t="str">
        <x:v>ACI Fabrics</x:v>
      </x:c>
      <x:c r="B30" s="12" t="n">
        <x:v>10</x:v>
      </x:c>
      <x:c r="C30" s="12" t="n">
        <x:f>'Scenario ACI'!$B$7</x:f>
        <x:v>120</x:v>
      </x:c>
      <x:c r="D30" s="12" t="n">
        <x:f>'Scenario ACI'!$C$7</x:f>
        <x:v>120</x:v>
      </x:c>
      <x:c r="E30" s="12" t="n">
        <x:f>'Scenario ACI'!$D$7</x:f>
        <x:v>172800</x:v>
      </x:c>
      <x:c r="F30" s="12" t="n">
        <x:f>'Scenario ACI'!$E$7</x:f>
        <x:v>5259600</x:v>
      </x:c>
      <x:c r="G30" s="2" t="str">
        <x:v>APIC profile for fabric resources, faults, endpoints, tenant objects, topology, and interface symptoms.</x:v>
      </x:c>
      <x:c r="H30" s="2" t="str">
        <x:v>Scenario ACI</x:v>
      </x:c>
      <x:c r="I30" s="2"/>
      <x:c r="J30" s="2"/>
      <x:c r="K30" s="2"/>
    </x:row>
    <x:row r="31">
      <x:c r="A31" s="2" t="str">
        <x:v>ACI Fabrics</x:v>
      </x:c>
      <x:c r="B31" s="12" t="n">
        <x:v>100</x:v>
      </x:c>
      <x:c r="C31" s="12" t="n">
        <x:f>'Scenario ACI'!$B$8</x:f>
        <x:v>840</x:v>
      </x:c>
      <x:c r="D31" s="12" t="n">
        <x:f>'Scenario ACI'!$C$8</x:f>
        <x:v>840</x:v>
      </x:c>
      <x:c r="E31" s="12" t="n">
        <x:f>'Scenario ACI'!$D$8</x:f>
        <x:v>1209600</x:v>
      </x:c>
      <x:c r="F31" s="12" t="n">
        <x:f>'Scenario ACI'!$E$8</x:f>
        <x:v>36817200</x:v>
      </x:c>
      <x:c r="G31" s="2" t="str">
        <x:v>APIC profile for fabric resources, faults, endpoints, tenant objects, topology, and interface symptoms.</x:v>
      </x:c>
      <x:c r="H31" s="2" t="str">
        <x:v>Scenario ACI</x:v>
      </x:c>
      <x:c r="I31" s="2"/>
      <x:c r="J31" s="2"/>
      <x:c r="K31" s="2"/>
    </x:row>
    <x:row r="32">
      <x:c r="A32" s="2" t="str">
        <x:v>ACI Fabrics</x:v>
      </x:c>
      <x:c r="B32" s="12" t="n">
        <x:v>1000</x:v>
      </x:c>
      <x:c r="C32" s="12" t="n">
        <x:f>'Scenario ACI'!$B$9</x:f>
        <x:v>8040</x:v>
      </x:c>
      <x:c r="D32" s="12" t="n">
        <x:f>'Scenario ACI'!$C$9</x:f>
        <x:v>8040</x:v>
      </x:c>
      <x:c r="E32" s="12" t="n">
        <x:f>'Scenario ACI'!$D$9</x:f>
        <x:v>11577600</x:v>
      </x:c>
      <x:c r="F32" s="12" t="n">
        <x:f>'Scenario ACI'!$E$9</x:f>
        <x:v>352393200</x:v>
      </x:c>
      <x:c r="G32" s="2" t="str">
        <x:v>APIC profile for fabric resources, faults, endpoints, tenant objects, topology, and interface symptoms.</x:v>
      </x:c>
      <x:c r="H32" s="2" t="str">
        <x:v>Scenario ACI</x:v>
      </x:c>
      <x:c r="I32" s="2"/>
      <x:c r="J32" s="2"/>
      <x:c r="K32" s="2"/>
    </x:row>
    <x:row r="33">
      <x:c r="A33" s="2" t="str">
        <x:v>FMC Managed Firewalls</x:v>
      </x:c>
      <x:c r="B33" s="12" t="n">
        <x:v>10</x:v>
      </x:c>
      <x:c r="C33" s="12" t="n">
        <x:f>'Scenario FMC'!$B$7</x:f>
        <x:v>612</x:v>
      </x:c>
      <x:c r="D33" s="12" t="n">
        <x:f>'Scenario FMC'!$C$7</x:f>
        <x:v>612</x:v>
      </x:c>
      <x:c r="E33" s="12" t="n">
        <x:f>'Scenario FMC'!$D$7</x:f>
        <x:v>881280</x:v>
      </x:c>
      <x:c r="F33" s="12" t="n">
        <x:f>'Scenario FMC'!$E$7</x:f>
        <x:v>26823960</x:v>
      </x:c>
      <x:c r="G33" s="2" t="str">
        <x:v>Secure Firewall Management Center profile for REST metrics. eStreamer event payloads are log volume, while this tab keeps receiver health/count MTS separate.</x:v>
      </x:c>
      <x:c r="H33" s="2" t="str">
        <x:v>Scenario FMC</x:v>
      </x:c>
      <x:c r="I33" s="2"/>
      <x:c r="J33" s="2"/>
      <x:c r="K33" s="2"/>
    </x:row>
    <x:row r="34">
      <x:c r="A34" s="2" t="str">
        <x:v>FMC Managed Firewalls</x:v>
      </x:c>
      <x:c r="B34" s="12" t="n">
        <x:v>100</x:v>
      </x:c>
      <x:c r="C34" s="12" t="n">
        <x:f>'Scenario FMC'!$B$8</x:f>
        <x:v>5742</x:v>
      </x:c>
      <x:c r="D34" s="12" t="n">
        <x:f>'Scenario FMC'!$C$8</x:f>
        <x:v>5742</x:v>
      </x:c>
      <x:c r="E34" s="12" t="n">
        <x:f>'Scenario FMC'!$D$8</x:f>
        <x:v>8268480</x:v>
      </x:c>
      <x:c r="F34" s="12" t="n">
        <x:f>'Scenario FMC'!$E$8</x:f>
        <x:v>251671860</x:v>
      </x:c>
      <x:c r="G34" s="2" t="str">
        <x:v>Secure Firewall Management Center profile for REST metrics. eStreamer event payloads are log volume, while this tab keeps receiver health/count MTS separate.</x:v>
      </x:c>
      <x:c r="H34" s="2" t="str">
        <x:v>Scenario FMC</x:v>
      </x:c>
      <x:c r="I34" s="2"/>
      <x:c r="J34" s="2"/>
      <x:c r="K34" s="2"/>
    </x:row>
    <x:row r="35">
      <x:c r="A35" s="2" t="str">
        <x:v>FMC Managed Firewalls</x:v>
      </x:c>
      <x:c r="B35" s="12" t="n">
        <x:v>1000</x:v>
      </x:c>
      <x:c r="C35" s="12" t="n">
        <x:f>'Scenario FMC'!$B$9</x:f>
        <x:v>57042</x:v>
      </x:c>
      <x:c r="D35" s="12" t="n">
        <x:f>'Scenario FMC'!$C$9</x:f>
        <x:v>57042</x:v>
      </x:c>
      <x:c r="E35" s="12" t="n">
        <x:f>'Scenario FMC'!$D$9</x:f>
        <x:v>82140480</x:v>
      </x:c>
      <x:c r="F35" s="12" t="n">
        <x:f>'Scenario FMC'!$E$9</x:f>
        <x:v>2500150860</x:v>
      </x:c>
      <x:c r="G35" s="2" t="str">
        <x:v>Secure Firewall Management Center profile for REST metrics. eStreamer event payloads are log volume, while this tab keeps receiver health/count MTS separate.</x:v>
      </x:c>
      <x:c r="H35" s="2" t="str">
        <x:v>Scenario FMC</x:v>
      </x:c>
      <x:c r="I35" s="2"/>
      <x:c r="J35" s="2"/>
      <x:c r="K35" s="2"/>
    </x:row>
    <x:row r="36">
      <x:c r="A36" s="2" t="str">
        <x:v>ISE Endpoints</x:v>
      </x:c>
      <x:c r="B36" s="12" t="n">
        <x:v>10</x:v>
      </x:c>
      <x:c r="C36" s="12" t="n">
        <x:f>'Scenario ISE'!$B$7</x:f>
        <x:v>356</x:v>
      </x:c>
      <x:c r="D36" s="12" t="n">
        <x:f>'Scenario ISE'!$C$7</x:f>
        <x:v>356</x:v>
      </x:c>
      <x:c r="E36" s="12" t="n">
        <x:f>'Scenario ISE'!$D$7</x:f>
        <x:v>512640</x:v>
      </x:c>
      <x:c r="F36" s="12" t="n">
        <x:f>'Scenario ISE'!$E$7</x:f>
        <x:v>15603480</x:v>
      </x:c>
      <x:c r="G36" s="2" t="str">
        <x:v>Cisco ISE REST profile with deployment, network device, endpoint/session, auth, policy, and certificate/licensing groups. pxGrid and Data Connect are editable opt-ins.</x:v>
      </x:c>
      <x:c r="H36" s="2" t="str">
        <x:v>Scenario ISE</x:v>
      </x:c>
      <x:c r="I36" s="2"/>
      <x:c r="J36" s="2"/>
      <x:c r="K36" s="2"/>
    </x:row>
    <x:row r="37">
      <x:c r="A37" s="2" t="str">
        <x:v>ISE Endpoints</x:v>
      </x:c>
      <x:c r="B37" s="12" t="n">
        <x:v>100</x:v>
      </x:c>
      <x:c r="C37" s="12" t="n">
        <x:f>'Scenario ISE'!$B$8</x:f>
        <x:v>2696</x:v>
      </x:c>
      <x:c r="D37" s="12" t="n">
        <x:f>'Scenario ISE'!$C$8</x:f>
        <x:v>2696</x:v>
      </x:c>
      <x:c r="E37" s="12" t="n">
        <x:f>'Scenario ISE'!$D$8</x:f>
        <x:v>3882240</x:v>
      </x:c>
      <x:c r="F37" s="12" t="n">
        <x:f>'Scenario ISE'!$E$8</x:f>
        <x:v>118165680</x:v>
      </x:c>
      <x:c r="G37" s="2" t="str">
        <x:v>Cisco ISE REST profile with deployment, network device, endpoint/session, auth, policy, and certificate/licensing groups. pxGrid and Data Connect are editable opt-ins.</x:v>
      </x:c>
      <x:c r="H37" s="2" t="str">
        <x:v>Scenario ISE</x:v>
      </x:c>
      <x:c r="I37" s="2"/>
      <x:c r="J37" s="2"/>
      <x:c r="K37" s="2"/>
    </x:row>
    <x:row r="38">
      <x:c r="A38" s="2" t="str">
        <x:v>ISE Endpoints</x:v>
      </x:c>
      <x:c r="B38" s="12" t="n">
        <x:v>1000</x:v>
      </x:c>
      <x:c r="C38" s="12" t="n">
        <x:f>'Scenario ISE'!$B$9</x:f>
        <x:v>26096</x:v>
      </x:c>
      <x:c r="D38" s="12" t="n">
        <x:f>'Scenario ISE'!$C$9</x:f>
        <x:v>26096</x:v>
      </x:c>
      <x:c r="E38" s="12" t="n">
        <x:f>'Scenario ISE'!$D$9</x:f>
        <x:v>37578240</x:v>
      </x:c>
      <x:c r="F38" s="12" t="n">
        <x:f>'Scenario ISE'!$E$9</x:f>
        <x:v>1143787680</x:v>
      </x:c>
      <x:c r="G38" s="2" t="str">
        <x:v>Cisco ISE REST profile with deployment, network device, endpoint/session, auth, policy, and certificate/licensing groups. pxGrid and Data Connect are editable opt-ins.</x:v>
      </x:c>
      <x:c r="H38" s="2" t="str">
        <x:v>Scenario ISE</x:v>
      </x:c>
      <x:c r="I38" s="2"/>
      <x:c r="J38" s="2"/>
      <x:c r="K38" s="2"/>
    </x:row>
    <x:row r="39">
      <x:c r="A39" s="2" t="str">
        <x:v>IOS XR Routers</x:v>
      </x:c>
      <x:c r="B39" s="12" t="n">
        <x:v>10</x:v>
      </x:c>
      <x:c r="C39" s="12" t="n">
        <x:f>'Scenario IOS XR'!$B$7</x:f>
        <x:v>21792</x:v>
      </x:c>
      <x:c r="D39" s="12" t="n">
        <x:f>'Scenario IOS XR'!$C$7</x:f>
        <x:v>21792</x:v>
      </x:c>
      <x:c r="E39" s="12" t="n">
        <x:f>'Scenario IOS XR'!$D$7</x:f>
        <x:v>31380480</x:v>
      </x:c>
      <x:c r="F39" s="12" t="n">
        <x:f>'Scenario IOS XR'!$E$7</x:f>
        <x:v>955143360</x:v>
      </x:c>
      <x:c r="G39" s="2" t="str">
        <x:v>IOS XR gNMI/MDT profile with core system, interface, optics, routing, QoS, topology, and self-health path groups. Route and flow tables are high-volume opt-ins.</x:v>
      </x:c>
      <x:c r="H39" s="2" t="str">
        <x:v>Scenario IOS XR</x:v>
      </x:c>
      <x:c r="I39" s="2"/>
      <x:c r="J39" s="2"/>
      <x:c r="K39" s="2"/>
    </x:row>
    <x:row r="40">
      <x:c r="A40" s="2" t="str">
        <x:v>IOS XR Routers</x:v>
      </x:c>
      <x:c r="B40" s="12" t="n">
        <x:v>100</x:v>
      </x:c>
      <x:c r="C40" s="12" t="n">
        <x:f>'Scenario IOS XR'!$B$8</x:f>
        <x:v>217632</x:v>
      </x:c>
      <x:c r="D40" s="12" t="n">
        <x:f>'Scenario IOS XR'!$C$8</x:f>
        <x:v>217632</x:v>
      </x:c>
      <x:c r="E40" s="12" t="n">
        <x:f>'Scenario IOS XR'!$D$8</x:f>
        <x:v>313390080</x:v>
      </x:c>
      <x:c r="F40" s="12" t="n">
        <x:f>'Scenario IOS XR'!$E$8</x:f>
        <x:v>9538810560</x:v>
      </x:c>
      <x:c r="G40" s="2" t="str">
        <x:v>IOS XR gNMI/MDT profile with core system, interface, optics, routing, QoS, topology, and self-health path groups. Route and flow tables are high-volume opt-ins.</x:v>
      </x:c>
      <x:c r="H40" s="2" t="str">
        <x:v>Scenario IOS XR</x:v>
      </x:c>
      <x:c r="I40" s="2"/>
      <x:c r="J40" s="2"/>
      <x:c r="K40" s="2"/>
    </x:row>
    <x:row r="41">
      <x:c r="A41" s="2" t="str">
        <x:v>IOS XR Routers</x:v>
      </x:c>
      <x:c r="B41" s="12" t="n">
        <x:v>1000</x:v>
      </x:c>
      <x:c r="C41" s="12" t="n">
        <x:f>'Scenario IOS XR'!$B$9</x:f>
        <x:v>2176032</x:v>
      </x:c>
      <x:c r="D41" s="12" t="n">
        <x:f>'Scenario IOS XR'!$C$9</x:f>
        <x:v>2176032</x:v>
      </x:c>
      <x:c r="E41" s="12" t="n">
        <x:f>'Scenario IOS XR'!$D$9</x:f>
        <x:v>3133486080</x:v>
      </x:c>
      <x:c r="F41" s="12" t="n">
        <x:f>'Scenario IOS XR'!$E$9</x:f>
        <x:v>95375482560</x:v>
      </x:c>
      <x:c r="G41" s="2" t="str">
        <x:v>IOS XR gNMI/MDT profile with core system, interface, optics, routing, QoS, topology, and self-health path groups. Route and flow tables are high-volume opt-ins.</x:v>
      </x:c>
      <x:c r="H41" s="2" t="str">
        <x:v>Scenario IOS XR</x:v>
      </x:c>
      <x:c r="I41" s="2"/>
      <x:c r="J41" s="2"/>
      <x:c r="K41" s="2"/>
    </x:row>
    <x:row r="42">
      <x:c r="A42" s="2"/>
      <x:c r="B42" s="2"/>
      <x:c r="C42" s="2"/>
      <x:c r="D42" s="2"/>
      <x:c r="E42" s="2"/>
      <x:c r="F42" s="2"/>
      <x:c r="G42" s="2"/>
      <x:c r="H42" s="2"/>
      <x:c r="I42" s="2"/>
      <x:c r="J42" s="2"/>
      <x:c r="K42" s="2"/>
    </x:row>
    <x:row r="43">
      <x:c r="A43" s="2"/>
      <x:c r="B43" s="2"/>
      <x:c r="C43" s="2"/>
      <x:c r="D43" s="2"/>
      <x:c r="E43" s="2"/>
      <x:c r="F43" s="2"/>
      <x:c r="G43" s="2"/>
      <x:c r="H43" s="2"/>
      <x:c r="I43" s="2"/>
      <x:c r="J43" s="2"/>
      <x:c r="K43" s="2"/>
    </x:row>
    <x:row r="44">
      <x:c r="A44" s="2"/>
      <x:c r="B44" s="2"/>
      <x:c r="C44" s="2"/>
      <x:c r="D44" s="2"/>
      <x:c r="E44" s="2"/>
      <x:c r="F44" s="2"/>
      <x:c r="G44" s="2"/>
      <x:c r="H44" s="2"/>
      <x:c r="I44" s="2"/>
      <x:c r="J44" s="2"/>
      <x:c r="K44" s="2"/>
    </x:row>
    <x:row r="45">
      <x:c r="A45" s="2"/>
      <x:c r="B45" s="2"/>
      <x:c r="C45" s="2"/>
      <x:c r="D45" s="2"/>
      <x:c r="E45" s="2"/>
      <x:c r="F45" s="2"/>
      <x:c r="G45" s="2"/>
      <x:c r="H45" s="2"/>
      <x:c r="I45" s="2"/>
      <x:c r="J45" s="2"/>
      <x:c r="K45" s="2"/>
    </x:row>
    <x:row r="46">
      <x:c r="A46" s="2"/>
      <x:c r="B46" s="2"/>
      <x:c r="C46" s="2"/>
      <x:c r="D46" s="2"/>
      <x:c r="E46" s="2"/>
      <x:c r="F46" s="2"/>
      <x:c r="G46" s="2"/>
      <x:c r="H46" s="2"/>
      <x:c r="I46" s="2"/>
      <x:c r="J46" s="2"/>
      <x:c r="K46" s="2"/>
    </x:row>
    <x:row r="47">
      <x:c r="A47" s="2"/>
      <x:c r="B47" s="2"/>
      <x:c r="C47" s="2"/>
      <x:c r="D47" s="2"/>
      <x:c r="E47" s="2"/>
      <x:c r="F47" s="2"/>
      <x:c r="G47" s="2"/>
      <x:c r="H47" s="2"/>
      <x:c r="I47" s="2"/>
      <x:c r="J47" s="2"/>
      <x:c r="K47" s="2"/>
    </x:row>
    <x:row r="48">
      <x:c r="A48" s="2"/>
      <x:c r="B48" s="2"/>
      <x:c r="C48" s="2"/>
      <x:c r="D48" s="2"/>
      <x:c r="E48" s="2"/>
      <x:c r="F48" s="2"/>
      <x:c r="G48" s="2"/>
      <x:c r="H48" s="2"/>
      <x:c r="I48" s="2"/>
      <x:c r="J48" s="2"/>
      <x:c r="K48" s="2"/>
    </x:row>
    <x:row r="49">
      <x:c r="A49" s="2"/>
      <x:c r="B49" s="2"/>
      <x:c r="C49" s="2"/>
      <x:c r="D49" s="2"/>
      <x:c r="E49" s="2"/>
      <x:c r="F49" s="2"/>
      <x:c r="G49" s="2"/>
      <x:c r="H49" s="2"/>
      <x:c r="I49" s="2"/>
      <x:c r="J49" s="2"/>
      <x:c r="K49" s="2"/>
    </x:row>
    <x:row r="50">
      <x:c r="A50" s="2"/>
      <x:c r="B50" s="2"/>
      <x:c r="C50" s="2"/>
      <x:c r="D50" s="2"/>
      <x:c r="E50" s="2"/>
      <x:c r="F50" s="2"/>
      <x:c r="G50" s="2"/>
      <x:c r="H50" s="2"/>
      <x:c r="I50" s="2"/>
      <x:c r="J50" s="2"/>
      <x:c r="K50" s="2"/>
    </x:row>
    <x:row r="51">
      <x:c r="A51" s="2"/>
      <x:c r="B51" s="2"/>
      <x:c r="C51" s="2"/>
      <x:c r="D51" s="2"/>
      <x:c r="E51" s="2"/>
      <x:c r="F51" s="2"/>
      <x:c r="G51" s="2"/>
      <x:c r="H51" s="2"/>
      <x:c r="I51" s="2"/>
      <x:c r="J51" s="2"/>
      <x:c r="K51" s="2"/>
    </x:row>
    <x:row r="52">
      <x:c r="A52" s="2"/>
      <x:c r="B52" s="2"/>
      <x:c r="C52" s="2"/>
      <x:c r="D52" s="2"/>
      <x:c r="E52" s="2"/>
      <x:c r="F52" s="2"/>
      <x:c r="G52" s="2"/>
      <x:c r="H52" s="2"/>
      <x:c r="I52" s="2"/>
      <x:c r="J52" s="2"/>
      <x:c r="K52" s="2"/>
    </x:row>
    <x:row r="53">
      <x:c r="A53" s="2"/>
      <x:c r="B53" s="2"/>
      <x:c r="C53" s="2"/>
      <x:c r="D53" s="2"/>
      <x:c r="E53" s="2"/>
      <x:c r="F53" s="2"/>
      <x:c r="G53" s="2"/>
      <x:c r="H53" s="2"/>
      <x:c r="I53" s="2"/>
      <x:c r="J53" s="2"/>
      <x:c r="K53" s="2"/>
    </x:row>
    <x:row r="54">
      <x:c r="A54" s="2"/>
      <x:c r="B54" s="2"/>
      <x:c r="C54" s="2"/>
      <x:c r="D54" s="2"/>
      <x:c r="E54" s="2"/>
      <x:c r="F54" s="2"/>
      <x:c r="G54" s="2"/>
      <x:c r="H54" s="2"/>
      <x:c r="I54" s="2"/>
      <x:c r="J54" s="2"/>
      <x:c r="K54" s="2"/>
    </x:row>
    <x:row r="55">
      <x:c r="A55" s="2"/>
      <x:c r="B55" s="2"/>
      <x:c r="C55" s="2"/>
      <x:c r="D55" s="2"/>
      <x:c r="E55" s="2"/>
      <x:c r="F55" s="2"/>
      <x:c r="G55" s="2"/>
      <x:c r="H55" s="2"/>
      <x:c r="I55" s="2"/>
      <x:c r="J55" s="2"/>
      <x:c r="K55" s="2"/>
    </x:row>
    <x:row r="56">
      <x:c r="A56" s="2"/>
      <x:c r="B56" s="2"/>
      <x:c r="C56" s="2"/>
      <x:c r="D56" s="2"/>
      <x:c r="E56" s="2"/>
      <x:c r="F56" s="2"/>
      <x:c r="G56" s="2"/>
      <x:c r="H56" s="2"/>
      <x:c r="I56" s="2"/>
      <x:c r="J56" s="2"/>
      <x:c r="K56" s="2"/>
    </x:row>
    <x:row r="57">
      <x:c r="A57" s="2"/>
      <x:c r="B57" s="2"/>
      <x:c r="C57" s="2"/>
      <x:c r="D57" s="2"/>
      <x:c r="E57" s="2"/>
      <x:c r="F57" s="2"/>
      <x:c r="G57" s="2"/>
      <x:c r="H57" s="2"/>
      <x:c r="I57" s="2"/>
      <x:c r="J57" s="2"/>
      <x:c r="K57" s="2"/>
    </x:row>
    <x:row r="58">
      <x:c r="A58" s="2"/>
      <x:c r="B58" s="2"/>
      <x:c r="C58" s="2"/>
      <x:c r="D58" s="2"/>
      <x:c r="E58" s="2"/>
      <x:c r="F58" s="2"/>
      <x:c r="G58" s="2"/>
      <x:c r="H58" s="2"/>
      <x:c r="I58" s="2"/>
      <x:c r="J58" s="2"/>
      <x:c r="K58" s="2"/>
    </x:row>
    <x:row r="59">
      <x:c r="A59" s="2"/>
      <x:c r="B59" s="2"/>
      <x:c r="C59" s="2"/>
      <x:c r="D59" s="2"/>
      <x:c r="E59" s="2"/>
      <x:c r="F59" s="2"/>
      <x:c r="G59" s="2"/>
      <x:c r="H59" s="2"/>
      <x:c r="I59" s="2"/>
      <x:c r="J59" s="2"/>
      <x:c r="K59" s="2"/>
    </x:row>
    <x:row r="60">
      <x:c r="A60" s="2"/>
      <x:c r="B60" s="2"/>
      <x:c r="C60" s="2"/>
      <x:c r="D60" s="2"/>
      <x:c r="E60" s="2"/>
      <x:c r="F60" s="2"/>
      <x:c r="G60" s="2"/>
      <x:c r="H60" s="2"/>
      <x:c r="I60" s="2"/>
      <x:c r="J60" s="2"/>
      <x:c r="K60" s="2"/>
    </x:row>
    <x:row r="61">
      <x:c r="A61" s="2"/>
      <x:c r="B61" s="2"/>
      <x:c r="C61" s="2"/>
      <x:c r="D61" s="2"/>
      <x:c r="E61" s="2"/>
      <x:c r="F61" s="2"/>
      <x:c r="G61" s="2"/>
      <x:c r="H61" s="2"/>
      <x:c r="I61" s="2"/>
      <x:c r="J61" s="2"/>
      <x:c r="K61" s="2"/>
    </x:row>
    <x:row r="62">
      <x:c r="A62" s="2"/>
      <x:c r="B62" s="2"/>
      <x:c r="C62" s="2"/>
      <x:c r="D62" s="2"/>
      <x:c r="E62" s="2"/>
      <x:c r="F62" s="2"/>
      <x:c r="G62" s="2"/>
      <x:c r="H62" s="2"/>
      <x:c r="I62" s="2"/>
      <x:c r="J62" s="2"/>
      <x:c r="K62" s="2"/>
    </x:row>
    <x:row r="63">
      <x:c r="A63" s="2"/>
      <x:c r="B63" s="2"/>
      <x:c r="C63" s="2"/>
      <x:c r="D63" s="2"/>
      <x:c r="E63" s="2"/>
      <x:c r="F63" s="2"/>
      <x:c r="G63" s="2"/>
      <x:c r="H63" s="2"/>
      <x:c r="I63" s="2"/>
      <x:c r="J63" s="2"/>
      <x:c r="K63" s="2"/>
    </x:row>
    <x:row r="64">
      <x:c r="A64" s="2"/>
      <x:c r="B64" s="2"/>
      <x:c r="C64" s="2"/>
      <x:c r="D64" s="2"/>
      <x:c r="E64" s="2"/>
      <x:c r="F64" s="2"/>
      <x:c r="G64" s="2"/>
      <x:c r="H64" s="2"/>
      <x:c r="I64" s="2"/>
      <x:c r="J64" s="2"/>
      <x:c r="K64" s="2"/>
    </x:row>
    <x:row r="65">
      <x:c r="A65" s="2"/>
      <x:c r="B65" s="2"/>
      <x:c r="C65" s="2"/>
      <x:c r="D65" s="2"/>
      <x:c r="E65" s="2"/>
      <x:c r="F65" s="2"/>
      <x:c r="G65" s="2"/>
      <x:c r="H65" s="2"/>
      <x:c r="I65" s="2"/>
      <x:c r="J65" s="2"/>
      <x:c r="K65" s="2"/>
    </x:row>
    <x:row r="66">
      <x:c r="A66" s="2"/>
      <x:c r="B66" s="2"/>
      <x:c r="C66" s="2"/>
      <x:c r="D66" s="2"/>
      <x:c r="E66" s="2"/>
      <x:c r="F66" s="2"/>
      <x:c r="G66" s="2"/>
      <x:c r="H66" s="2"/>
      <x:c r="I66" s="2"/>
      <x:c r="J66" s="2"/>
      <x:c r="K66" s="2"/>
    </x:row>
    <x:row r="67">
      <x:c r="A67" s="2"/>
      <x:c r="B67" s="2"/>
      <x:c r="C67" s="2"/>
      <x:c r="D67" s="2"/>
      <x:c r="E67" s="2"/>
      <x:c r="F67" s="2"/>
      <x:c r="G67" s="2"/>
      <x:c r="H67" s="2"/>
      <x:c r="I67" s="2"/>
      <x:c r="J67" s="2"/>
      <x:c r="K67" s="2"/>
    </x:row>
    <x:row r="68">
      <x:c r="A68" s="2"/>
      <x:c r="B68" s="2"/>
      <x:c r="C68" s="2"/>
      <x:c r="D68" s="2"/>
      <x:c r="E68" s="2"/>
      <x:c r="F68" s="2"/>
      <x:c r="G68" s="2"/>
      <x:c r="H68" s="2"/>
      <x:c r="I68" s="2"/>
      <x:c r="J68" s="2"/>
      <x:c r="K68" s="2"/>
    </x:row>
    <x:row r="69">
      <x:c r="A69" s="2"/>
      <x:c r="B69" s="2"/>
      <x:c r="C69" s="2"/>
      <x:c r="D69" s="2"/>
      <x:c r="E69" s="2"/>
      <x:c r="F69" s="2"/>
      <x:c r="G69" s="2"/>
      <x:c r="H69" s="2"/>
      <x:c r="I69" s="2"/>
      <x:c r="J69" s="2"/>
      <x:c r="K69" s="2"/>
    </x:row>
    <x:row r="70">
      <x:c r="A70" s="2"/>
      <x:c r="B70" s="2"/>
      <x:c r="C70" s="2"/>
      <x:c r="D70" s="2"/>
      <x:c r="E70" s="2"/>
      <x:c r="F70" s="2"/>
      <x:c r="G70" s="2"/>
      <x:c r="H70" s="2"/>
      <x:c r="I70" s="2"/>
      <x:c r="J70" s="2"/>
      <x:c r="K70" s="2"/>
    </x:row>
    <x:row r="71">
      <x:c r="A71" s="2"/>
      <x:c r="B71" s="2"/>
      <x:c r="C71" s="2"/>
      <x:c r="D71" s="2"/>
      <x:c r="E71" s="2"/>
      <x:c r="F71" s="2"/>
      <x:c r="G71" s="2"/>
      <x:c r="H71" s="2"/>
      <x:c r="I71" s="2"/>
      <x:c r="J71" s="2"/>
      <x:c r="K71" s="2"/>
    </x:row>
    <x:row r="72">
      <x:c r="A72" s="2"/>
      <x:c r="B72" s="2"/>
      <x:c r="C72" s="2"/>
      <x:c r="D72" s="2"/>
      <x:c r="E72" s="2"/>
      <x:c r="F72" s="2"/>
      <x:c r="G72" s="2"/>
      <x:c r="H72" s="2"/>
      <x:c r="I72" s="2"/>
      <x:c r="J72" s="2"/>
      <x:c r="K72" s="2"/>
    </x:row>
    <x:row r="73">
      <x:c r="A73" s="2"/>
      <x:c r="B73" s="2"/>
      <x:c r="C73" s="2"/>
      <x:c r="D73" s="2"/>
      <x:c r="E73" s="2"/>
      <x:c r="F73" s="2"/>
      <x:c r="G73" s="2"/>
      <x:c r="H73" s="2"/>
      <x:c r="I73" s="2"/>
      <x:c r="J73" s="2"/>
      <x:c r="K73" s="2"/>
    </x:row>
    <x:row r="74">
      <x:c r="A74" s="2"/>
      <x:c r="B74" s="2"/>
      <x:c r="C74" s="2"/>
      <x:c r="D74" s="2"/>
      <x:c r="E74" s="2"/>
      <x:c r="F74" s="2"/>
      <x:c r="G74" s="2"/>
      <x:c r="H74" s="2"/>
      <x:c r="I74" s="2"/>
      <x:c r="J74" s="2"/>
      <x:c r="K74" s="2"/>
    </x:row>
    <x:row r="75">
      <x:c r="A75" s="2"/>
      <x:c r="B75" s="2"/>
      <x:c r="C75" s="2"/>
      <x:c r="D75" s="2"/>
      <x:c r="E75" s="2"/>
      <x:c r="F75" s="2"/>
      <x:c r="G75" s="2"/>
      <x:c r="H75" s="2"/>
      <x:c r="I75" s="2"/>
      <x:c r="J75" s="2"/>
      <x:c r="K75" s="2"/>
    </x:row>
    <x:row r="76">
      <x:c r="A76" s="2"/>
      <x:c r="B76" s="2"/>
      <x:c r="C76" s="2"/>
      <x:c r="D76" s="2"/>
      <x:c r="E76" s="2"/>
      <x:c r="F76" s="2"/>
      <x:c r="G76" s="2"/>
      <x:c r="H76" s="2"/>
      <x:c r="I76" s="2"/>
      <x:c r="J76" s="2"/>
      <x:c r="K76" s="2"/>
    </x:row>
    <x:row r="77">
      <x:c r="A77" s="2"/>
      <x:c r="B77" s="2"/>
      <x:c r="C77" s="2"/>
      <x:c r="D77" s="2"/>
      <x:c r="E77" s="2"/>
      <x:c r="F77" s="2"/>
      <x:c r="G77" s="2"/>
      <x:c r="H77" s="2"/>
      <x:c r="I77" s="2"/>
      <x:c r="J77" s="2"/>
      <x:c r="K77" s="2"/>
    </x:row>
    <x:row r="78">
      <x:c r="A78" s="2"/>
      <x:c r="B78" s="2"/>
      <x:c r="C78" s="2"/>
      <x:c r="D78" s="2"/>
      <x:c r="E78" s="2"/>
      <x:c r="F78" s="2"/>
      <x:c r="G78" s="2"/>
      <x:c r="H78" s="2"/>
      <x:c r="I78" s="2"/>
      <x:c r="J78" s="2"/>
      <x:c r="K78" s="2"/>
    </x:row>
    <x:row r="79">
      <x:c r="A79" s="2"/>
      <x:c r="B79" s="2"/>
      <x:c r="C79" s="2"/>
      <x:c r="D79" s="2"/>
      <x:c r="E79" s="2"/>
      <x:c r="F79" s="2"/>
      <x:c r="G79" s="2"/>
      <x:c r="H79" s="2"/>
      <x:c r="I79" s="2"/>
      <x:c r="J79" s="2"/>
      <x:c r="K79" s="2"/>
    </x:row>
    <x:row r="80">
      <x:c r="A80" s="2"/>
      <x:c r="B80" s="2"/>
      <x:c r="C80" s="2"/>
      <x:c r="D80" s="2"/>
      <x:c r="E80" s="2"/>
      <x:c r="F80" s="2"/>
      <x:c r="G80" s="2"/>
      <x:c r="H80" s="2"/>
      <x:c r="I80" s="2"/>
      <x:c r="J80" s="2"/>
      <x:c r="K80" s="2"/>
    </x:row>
    <x:row r="81">
      <x:c r="A81" s="2"/>
      <x:c r="B81" s="2"/>
      <x:c r="C81" s="2"/>
      <x:c r="D81" s="2"/>
      <x:c r="E81" s="2"/>
      <x:c r="F81" s="2"/>
      <x:c r="G81" s="2"/>
      <x:c r="H81" s="2"/>
      <x:c r="I81" s="2"/>
      <x:c r="J81" s="2"/>
      <x:c r="K81" s="2"/>
    </x:row>
    <x:row r="82">
      <x:c r="A82" s="2"/>
      <x:c r="B82" s="2"/>
      <x:c r="C82" s="2"/>
      <x:c r="D82" s="2"/>
      <x:c r="E82" s="2"/>
      <x:c r="F82" s="2"/>
      <x:c r="G82" s="2"/>
      <x:c r="H82" s="2"/>
      <x:c r="I82" s="2"/>
      <x:c r="J82" s="2"/>
      <x:c r="K82" s="2"/>
    </x:row>
    <x:row r="83">
      <x:c r="A83" s="2"/>
      <x:c r="B83" s="2"/>
      <x:c r="C83" s="2"/>
      <x:c r="D83" s="2"/>
      <x:c r="E83" s="2"/>
      <x:c r="F83" s="2"/>
      <x:c r="G83" s="2"/>
      <x:c r="H83" s="2"/>
      <x:c r="I83" s="2"/>
      <x:c r="J83" s="2"/>
      <x:c r="K83" s="2"/>
    </x:row>
    <x:row r="84">
      <x:c r="A84" s="2"/>
      <x:c r="B84" s="2"/>
      <x:c r="C84" s="2"/>
      <x:c r="D84" s="2"/>
      <x:c r="E84" s="2"/>
      <x:c r="F84" s="2"/>
      <x:c r="G84" s="2"/>
      <x:c r="H84" s="2"/>
      <x:c r="I84" s="2"/>
      <x:c r="J84" s="2"/>
      <x:c r="K84" s="2"/>
    </x:row>
    <x:row r="85">
      <x:c r="A85" s="2"/>
      <x:c r="B85" s="2"/>
      <x:c r="C85" s="2"/>
      <x:c r="D85" s="2"/>
      <x:c r="E85" s="2"/>
      <x:c r="F85" s="2"/>
      <x:c r="G85" s="2"/>
      <x:c r="H85" s="2"/>
      <x:c r="I85" s="2"/>
      <x:c r="J85" s="2"/>
      <x:c r="K85" s="2"/>
    </x:row>
    <x:row r="86">
      <x:c r="A86" s="2"/>
      <x:c r="B86" s="2"/>
      <x:c r="C86" s="2"/>
      <x:c r="D86" s="2"/>
      <x:c r="E86" s="2"/>
      <x:c r="F86" s="2"/>
      <x:c r="G86" s="2"/>
      <x:c r="H86" s="2"/>
      <x:c r="I86" s="2"/>
      <x:c r="J86" s="2"/>
      <x:c r="K86" s="2"/>
    </x:row>
    <x:row r="87">
      <x:c r="A87" s="2"/>
      <x:c r="B87" s="2"/>
      <x:c r="C87" s="2"/>
      <x:c r="D87" s="2"/>
      <x:c r="E87" s="2"/>
      <x:c r="F87" s="2"/>
      <x:c r="G87" s="2"/>
      <x:c r="H87" s="2"/>
      <x:c r="I87" s="2"/>
      <x:c r="J87" s="2"/>
      <x:c r="K87" s="2"/>
    </x:row>
    <x:row r="88">
      <x:c r="A88" s="2"/>
      <x:c r="B88" s="2"/>
      <x:c r="C88" s="2"/>
      <x:c r="D88" s="2"/>
      <x:c r="E88" s="2"/>
      <x:c r="F88" s="2"/>
      <x:c r="G88" s="2"/>
      <x:c r="H88" s="2"/>
      <x:c r="I88" s="2"/>
      <x:c r="J88" s="2"/>
      <x:c r="K88" s="2"/>
    </x:row>
    <x:row r="89">
      <x:c r="A89" s="2"/>
      <x:c r="B89" s="2"/>
      <x:c r="C89" s="2"/>
      <x:c r="D89" s="2"/>
      <x:c r="E89" s="2"/>
      <x:c r="F89" s="2"/>
      <x:c r="G89" s="2"/>
      <x:c r="H89" s="2"/>
      <x:c r="I89" s="2"/>
      <x:c r="J89" s="2"/>
      <x:c r="K89" s="2"/>
    </x:row>
    <x:row r="90">
      <x:c r="A90" s="2"/>
      <x:c r="B90" s="2"/>
      <x:c r="C90" s="2"/>
      <x:c r="D90" s="2"/>
      <x:c r="E90" s="2"/>
      <x:c r="F90" s="2"/>
      <x:c r="G90" s="2"/>
      <x:c r="H90" s="2"/>
      <x:c r="I90" s="2"/>
      <x:c r="J90" s="2"/>
      <x:c r="K90" s="2"/>
    </x:row>
    <x:row r="91">
      <x:c r="A91" s="2"/>
      <x:c r="B91" s="2"/>
      <x:c r="C91" s="2"/>
      <x:c r="D91" s="2"/>
      <x:c r="E91" s="2"/>
      <x:c r="F91" s="2"/>
      <x:c r="G91" s="2"/>
      <x:c r="H91" s="2"/>
      <x:c r="I91" s="2"/>
      <x:c r="J91" s="2"/>
      <x:c r="K91" s="2"/>
    </x:row>
    <x:row r="92">
      <x:c r="A92" s="2"/>
      <x:c r="B92" s="2"/>
      <x:c r="C92" s="2"/>
      <x:c r="D92" s="2"/>
      <x:c r="E92" s="2"/>
      <x:c r="F92" s="2"/>
      <x:c r="G92" s="2"/>
      <x:c r="H92" s="2"/>
      <x:c r="I92" s="2"/>
      <x:c r="J92" s="2"/>
      <x:c r="K92" s="2"/>
    </x:row>
    <x:row r="93">
      <x:c r="A93" s="2"/>
      <x:c r="B93" s="2"/>
      <x:c r="C93" s="2"/>
      <x:c r="D93" s="2"/>
      <x:c r="E93" s="2"/>
      <x:c r="F93" s="2"/>
      <x:c r="G93" s="2"/>
      <x:c r="H93" s="2"/>
      <x:c r="I93" s="2"/>
      <x:c r="J93" s="2"/>
      <x:c r="K93" s="2"/>
    </x:row>
    <x:row r="94">
      <x:c r="A94" s="2"/>
      <x:c r="B94" s="2"/>
      <x:c r="C94" s="2"/>
      <x:c r="D94" s="2"/>
      <x:c r="E94" s="2"/>
      <x:c r="F94" s="2"/>
      <x:c r="G94" s="2"/>
      <x:c r="H94" s="2"/>
      <x:c r="I94" s="2"/>
      <x:c r="J94" s="2"/>
      <x:c r="K94" s="2"/>
    </x:row>
    <x:row r="95">
      <x:c r="A95" s="2"/>
      <x:c r="B95" s="2"/>
      <x:c r="C95" s="2"/>
      <x:c r="D95" s="2"/>
      <x:c r="E95" s="2"/>
      <x:c r="F95" s="2"/>
      <x:c r="G95" s="2"/>
      <x:c r="H95" s="2"/>
      <x:c r="I95" s="2"/>
      <x:c r="J95" s="2"/>
      <x:c r="K95" s="2"/>
    </x:row>
    <x:row r="96">
      <x:c r="A96" s="2"/>
      <x:c r="B96" s="2"/>
      <x:c r="C96" s="2"/>
      <x:c r="D96" s="2"/>
      <x:c r="E96" s="2"/>
      <x:c r="F96" s="2"/>
      <x:c r="G96" s="2"/>
      <x:c r="H96" s="2"/>
      <x:c r="I96" s="2"/>
      <x:c r="J96" s="2"/>
      <x:c r="K96" s="2"/>
    </x:row>
    <x:row r="97">
      <x:c r="A97" s="2"/>
      <x:c r="B97" s="2"/>
      <x:c r="C97" s="2"/>
      <x:c r="D97" s="2"/>
      <x:c r="E97" s="2"/>
      <x:c r="F97" s="2"/>
      <x:c r="G97" s="2"/>
      <x:c r="H97" s="2"/>
      <x:c r="I97" s="2"/>
      <x:c r="J97" s="2"/>
      <x:c r="K97" s="2"/>
    </x:row>
    <x:row r="98">
      <x:c r="A98" s="2"/>
      <x:c r="B98" s="2"/>
      <x:c r="C98" s="2"/>
      <x:c r="D98" s="2"/>
      <x:c r="E98" s="2"/>
      <x:c r="F98" s="2"/>
      <x:c r="G98" s="2"/>
      <x:c r="H98" s="2"/>
      <x:c r="I98" s="2"/>
      <x:c r="J98" s="2"/>
      <x:c r="K98" s="2"/>
    </x:row>
    <x:row r="99">
      <x:c r="A99" s="2"/>
      <x:c r="B99" s="2"/>
      <x:c r="C99" s="2"/>
      <x:c r="D99" s="2"/>
      <x:c r="E99" s="2"/>
      <x:c r="F99" s="2"/>
      <x:c r="G99" s="2"/>
      <x:c r="H99" s="2"/>
      <x:c r="I99" s="2"/>
      <x:c r="J99" s="2"/>
      <x:c r="K99" s="2"/>
    </x:row>
    <x:row r="100">
      <x:c r="A100" s="2"/>
      <x:c r="B100" s="2"/>
      <x:c r="C100" s="2"/>
      <x:c r="D100" s="2"/>
      <x:c r="E100" s="2"/>
      <x:c r="F100" s="2"/>
      <x:c r="G100" s="2"/>
      <x:c r="H100" s="2"/>
      <x:c r="I100" s="2"/>
      <x:c r="J100" s="2"/>
      <x:c r="K100" s="2"/>
    </x:row>
    <x:row r="101">
      <x:c r="A101" s="2"/>
      <x:c r="B101" s="2"/>
      <x:c r="C101" s="2"/>
      <x:c r="D101" s="2"/>
      <x:c r="E101" s="2"/>
      <x:c r="F101" s="2"/>
      <x:c r="G101" s="2"/>
      <x:c r="H101" s="2"/>
      <x:c r="I101" s="2"/>
      <x:c r="J101" s="2"/>
      <x:c r="K101" s="2"/>
    </x:row>
    <x:row r="102">
      <x:c r="A102" s="2"/>
      <x:c r="B102" s="2"/>
      <x:c r="C102" s="2"/>
      <x:c r="D102" s="2"/>
      <x:c r="E102" s="2"/>
      <x:c r="F102" s="2"/>
      <x:c r="G102" s="2"/>
      <x:c r="H102" s="2"/>
      <x:c r="I102" s="2"/>
      <x:c r="J102" s="2"/>
      <x:c r="K102" s="2"/>
    </x:row>
    <x:row r="103">
      <x:c r="A103" s="2"/>
      <x:c r="B103" s="2"/>
      <x:c r="C103" s="2"/>
      <x:c r="D103" s="2"/>
      <x:c r="E103" s="2"/>
      <x:c r="F103" s="2"/>
      <x:c r="G103" s="2"/>
      <x:c r="H103" s="2"/>
      <x:c r="I103" s="2"/>
      <x:c r="J103" s="2"/>
      <x:c r="K103" s="2"/>
    </x:row>
    <x:row r="104">
      <x:c r="A104" s="2"/>
      <x:c r="B104" s="2"/>
      <x:c r="C104" s="2"/>
      <x:c r="D104" s="2"/>
      <x:c r="E104" s="2"/>
      <x:c r="F104" s="2"/>
      <x:c r="G104" s="2"/>
      <x:c r="H104" s="2"/>
      <x:c r="I104" s="2"/>
      <x:c r="J104" s="2"/>
      <x:c r="K104" s="2"/>
    </x:row>
    <x:row r="105">
      <x:c r="A105" s="2"/>
      <x:c r="B105" s="2"/>
      <x:c r="C105" s="2"/>
      <x:c r="D105" s="2"/>
      <x:c r="E105" s="2"/>
      <x:c r="F105" s="2"/>
      <x:c r="G105" s="2"/>
      <x:c r="H105" s="2"/>
      <x:c r="I105" s="2"/>
      <x:c r="J105" s="2"/>
      <x:c r="K105" s="2"/>
    </x:row>
    <x:row r="106">
      <x:c r="A106" s="2"/>
      <x:c r="B106" s="2"/>
      <x:c r="C106" s="2"/>
      <x:c r="D106" s="2"/>
      <x:c r="E106" s="2"/>
      <x:c r="F106" s="2"/>
      <x:c r="G106" s="2"/>
      <x:c r="H106" s="2"/>
      <x:c r="I106" s="2"/>
      <x:c r="J106" s="2"/>
      <x:c r="K106" s="2"/>
    </x:row>
    <x:row r="107">
      <x:c r="A107" s="2"/>
      <x:c r="B107" s="2"/>
      <x:c r="C107" s="2"/>
      <x:c r="D107" s="2"/>
      <x:c r="E107" s="2"/>
      <x:c r="F107" s="2"/>
      <x:c r="G107" s="2"/>
      <x:c r="H107" s="2"/>
      <x:c r="I107" s="2"/>
      <x:c r="J107" s="2"/>
      <x:c r="K107" s="2"/>
    </x:row>
    <x:row r="108">
      <x:c r="A108" s="2"/>
      <x:c r="B108" s="2"/>
      <x:c r="C108" s="2"/>
      <x:c r="D108" s="2"/>
      <x:c r="E108" s="2"/>
      <x:c r="F108" s="2"/>
      <x:c r="G108" s="2"/>
      <x:c r="H108" s="2"/>
      <x:c r="I108" s="2"/>
      <x:c r="J108" s="2"/>
      <x:c r="K108" s="2"/>
    </x:row>
    <x:row r="109">
      <x:c r="A109" s="2"/>
      <x:c r="B109" s="2"/>
      <x:c r="C109" s="2"/>
      <x:c r="D109" s="2"/>
      <x:c r="E109" s="2"/>
      <x:c r="F109" s="2"/>
      <x:c r="G109" s="2"/>
      <x:c r="H109" s="2"/>
      <x:c r="I109" s="2"/>
      <x:c r="J109" s="2"/>
      <x:c r="K109" s="2"/>
    </x:row>
    <x:row r="110">
      <x:c r="A110" s="2"/>
      <x:c r="B110" s="2"/>
      <x:c r="C110" s="2"/>
      <x:c r="D110" s="2"/>
      <x:c r="E110" s="2"/>
      <x:c r="F110" s="2"/>
      <x:c r="G110" s="2"/>
      <x:c r="H110" s="2"/>
      <x:c r="I110" s="2"/>
      <x:c r="J110" s="2"/>
      <x:c r="K110" s="2"/>
    </x:row>
    <x:row r="111">
      <x:c r="A111" s="2"/>
      <x:c r="B111" s="2"/>
      <x:c r="C111" s="2"/>
      <x:c r="D111" s="2"/>
      <x:c r="E111" s="2"/>
      <x:c r="F111" s="2"/>
      <x:c r="G111" s="2"/>
      <x:c r="H111" s="2"/>
      <x:c r="I111" s="2"/>
      <x:c r="J111" s="2"/>
      <x:c r="K111" s="2"/>
    </x:row>
    <x:row r="112">
      <x:c r="A112" s="2"/>
      <x:c r="B112" s="2"/>
      <x:c r="C112" s="2"/>
      <x:c r="D112" s="2"/>
      <x:c r="E112" s="2"/>
      <x:c r="F112" s="2"/>
      <x:c r="G112" s="2"/>
      <x:c r="H112" s="2"/>
      <x:c r="I112" s="2"/>
      <x:c r="J112" s="2"/>
      <x:c r="K112" s="2"/>
    </x:row>
    <x:row r="113">
      <x:c r="A113" s="2"/>
      <x:c r="B113" s="2"/>
      <x:c r="C113" s="2"/>
      <x:c r="D113" s="2"/>
      <x:c r="E113" s="2"/>
      <x:c r="F113" s="2"/>
      <x:c r="G113" s="2"/>
      <x:c r="H113" s="2"/>
      <x:c r="I113" s="2"/>
      <x:c r="J113" s="2"/>
      <x:c r="K113" s="2"/>
    </x:row>
    <x:row r="114">
      <x:c r="A114" s="2"/>
      <x:c r="B114" s="2"/>
      <x:c r="C114" s="2"/>
      <x:c r="D114" s="2"/>
      <x:c r="E114" s="2"/>
      <x:c r="F114" s="2"/>
      <x:c r="G114" s="2"/>
      <x:c r="H114" s="2"/>
      <x:c r="I114" s="2"/>
      <x:c r="J114" s="2"/>
      <x:c r="K114" s="2"/>
    </x:row>
    <x:row r="115">
      <x:c r="A115" s="2"/>
      <x:c r="B115" s="2"/>
      <x:c r="C115" s="2"/>
      <x:c r="D115" s="2"/>
      <x:c r="E115" s="2"/>
      <x:c r="F115" s="2"/>
      <x:c r="G115" s="2"/>
      <x:c r="H115" s="2"/>
      <x:c r="I115" s="2"/>
      <x:c r="J115" s="2"/>
      <x:c r="K115" s="2"/>
    </x:row>
    <x:row r="116">
      <x:c r="A116" s="2"/>
      <x:c r="B116" s="2"/>
      <x:c r="C116" s="2"/>
      <x:c r="D116" s="2"/>
      <x:c r="E116" s="2"/>
      <x:c r="F116" s="2"/>
      <x:c r="G116" s="2"/>
      <x:c r="H116" s="2"/>
      <x:c r="I116" s="2"/>
      <x:c r="J116" s="2"/>
      <x:c r="K116" s="2"/>
    </x:row>
    <x:row r="117">
      <x:c r="A117" s="2"/>
      <x:c r="B117" s="2"/>
      <x:c r="C117" s="2"/>
      <x:c r="D117" s="2"/>
      <x:c r="E117" s="2"/>
      <x:c r="F117" s="2"/>
      <x:c r="G117" s="2"/>
      <x:c r="H117" s="2"/>
      <x:c r="I117" s="2"/>
      <x:c r="J117" s="2"/>
      <x:c r="K117" s="2"/>
    </x:row>
    <x:row r="118">
      <x:c r="A118" s="2"/>
      <x:c r="B118" s="2"/>
      <x:c r="C118" s="2"/>
      <x:c r="D118" s="2"/>
      <x:c r="E118" s="2"/>
      <x:c r="F118" s="2"/>
      <x:c r="G118" s="2"/>
      <x:c r="H118" s="2"/>
      <x:c r="I118" s="2"/>
      <x:c r="J118" s="2"/>
      <x:c r="K118" s="2"/>
    </x:row>
    <x:row r="119">
      <x:c r="A119" s="2"/>
      <x:c r="B119" s="2"/>
      <x:c r="C119" s="2"/>
      <x:c r="D119" s="2"/>
      <x:c r="E119" s="2"/>
      <x:c r="F119" s="2"/>
      <x:c r="G119" s="2"/>
      <x:c r="H119" s="2"/>
      <x:c r="I119" s="2"/>
      <x:c r="J119" s="2"/>
      <x:c r="K119" s="2"/>
    </x:row>
    <x:row r="120">
      <x:c r="A120" s="2"/>
      <x:c r="B120" s="2"/>
      <x:c r="C120" s="2"/>
      <x:c r="D120" s="2"/>
      <x:c r="E120" s="2"/>
      <x:c r="F120" s="2"/>
      <x:c r="G120" s="2"/>
      <x:c r="H120" s="2"/>
      <x:c r="I120" s="2"/>
      <x:c r="J120" s="2"/>
      <x:c r="K120" s="2"/>
    </x:row>
    <x:row r="121">
      <x:c r="A121" s="2"/>
      <x:c r="B121" s="2"/>
      <x:c r="C121" s="2"/>
      <x:c r="D121" s="2"/>
      <x:c r="E121" s="2"/>
      <x:c r="F121" s="2"/>
      <x:c r="G121" s="2"/>
      <x:c r="H121" s="2"/>
      <x:c r="I121" s="2"/>
      <x:c r="J121" s="2"/>
      <x:c r="K121" s="2"/>
    </x:row>
    <x:row r="122">
      <x:c r="A122" s="2"/>
      <x:c r="B122" s="2"/>
      <x:c r="C122" s="2"/>
      <x:c r="D122" s="2"/>
      <x:c r="E122" s="2"/>
      <x:c r="F122" s="2"/>
      <x:c r="G122" s="2"/>
      <x:c r="H122" s="2"/>
      <x:c r="I122" s="2"/>
      <x:c r="J122" s="2"/>
      <x:c r="K122" s="2"/>
    </x:row>
    <x:row r="123">
      <x:c r="A123" s="2"/>
      <x:c r="B123" s="2"/>
      <x:c r="C123" s="2"/>
      <x:c r="D123" s="2"/>
      <x:c r="E123" s="2"/>
      <x:c r="F123" s="2"/>
      <x:c r="G123" s="2"/>
      <x:c r="H123" s="2"/>
      <x:c r="I123" s="2"/>
      <x:c r="J123" s="2"/>
      <x:c r="K123" s="2"/>
    </x:row>
    <x:row r="124">
      <x:c r="A124" s="2"/>
      <x:c r="B124" s="2"/>
      <x:c r="C124" s="2"/>
      <x:c r="D124" s="2"/>
      <x:c r="E124" s="2"/>
      <x:c r="F124" s="2"/>
      <x:c r="G124" s="2"/>
      <x:c r="H124" s="2"/>
      <x:c r="I124" s="2"/>
      <x:c r="J124" s="2"/>
      <x:c r="K124" s="2"/>
    </x:row>
    <x:row r="125">
      <x:c r="A125" s="2"/>
      <x:c r="B125" s="2"/>
      <x:c r="C125" s="2"/>
      <x:c r="D125" s="2"/>
      <x:c r="E125" s="2"/>
      <x:c r="F125" s="2"/>
      <x:c r="G125" s="2"/>
      <x:c r="H125" s="2"/>
      <x:c r="I125" s="2"/>
      <x:c r="J125" s="2"/>
      <x:c r="K125" s="2"/>
    </x:row>
    <x:row r="126">
      <x:c r="A126" s="2"/>
      <x:c r="B126" s="2"/>
      <x:c r="C126" s="2"/>
      <x:c r="D126" s="2"/>
      <x:c r="E126" s="2"/>
      <x:c r="F126" s="2"/>
      <x:c r="G126" s="2"/>
      <x:c r="H126" s="2"/>
      <x:c r="I126" s="2"/>
      <x:c r="J126" s="2"/>
      <x:c r="K126" s="2"/>
    </x:row>
    <x:row r="127">
      <x:c r="A127" s="2"/>
      <x:c r="B127" s="2"/>
      <x:c r="C127" s="2"/>
      <x:c r="D127" s="2"/>
      <x:c r="E127" s="2"/>
      <x:c r="F127" s="2"/>
      <x:c r="G127" s="2"/>
      <x:c r="H127" s="2"/>
      <x:c r="I127" s="2"/>
      <x:c r="J127" s="2"/>
      <x:c r="K127" s="2"/>
    </x:row>
    <x:row r="128">
      <x:c r="A128" s="2"/>
      <x:c r="B128" s="2"/>
      <x:c r="C128" s="2"/>
      <x:c r="D128" s="2"/>
      <x:c r="E128" s="2"/>
      <x:c r="F128" s="2"/>
      <x:c r="G128" s="2"/>
      <x:c r="H128" s="2"/>
      <x:c r="I128" s="2"/>
      <x:c r="J128" s="2"/>
      <x:c r="K128" s="2"/>
    </x:row>
    <x:row r="129">
      <x:c r="A129" s="2"/>
      <x:c r="B129" s="2"/>
      <x:c r="C129" s="2"/>
      <x:c r="D129" s="2"/>
      <x:c r="E129" s="2"/>
      <x:c r="F129" s="2"/>
      <x:c r="G129" s="2"/>
      <x:c r="H129" s="2"/>
      <x:c r="I129" s="2"/>
      <x:c r="J129" s="2"/>
      <x:c r="K129" s="2"/>
    </x:row>
    <x:row r="130">
      <x:c r="A130" s="2"/>
      <x:c r="B130" s="2"/>
      <x:c r="C130" s="2"/>
      <x:c r="D130" s="2"/>
      <x:c r="E130" s="2"/>
      <x:c r="F130" s="2"/>
      <x:c r="G130" s="2"/>
      <x:c r="H130" s="2"/>
      <x:c r="I130" s="2"/>
      <x:c r="J130" s="2"/>
      <x:c r="K130" s="2"/>
    </x:row>
    <x:row r="131">
      <x:c r="A131" s="2"/>
      <x:c r="B131" s="2"/>
      <x:c r="C131" s="2"/>
      <x:c r="D131" s="2"/>
      <x:c r="E131" s="2"/>
      <x:c r="F131" s="2"/>
      <x:c r="G131" s="2"/>
      <x:c r="H131" s="2"/>
      <x:c r="I131" s="2"/>
      <x:c r="J131" s="2"/>
      <x:c r="K131" s="2"/>
    </x:row>
    <x:row r="132">
      <x:c r="A132" s="2"/>
      <x:c r="B132" s="2"/>
      <x:c r="C132" s="2"/>
      <x:c r="D132" s="2"/>
      <x:c r="E132" s="2"/>
      <x:c r="F132" s="2"/>
      <x:c r="G132" s="2"/>
      <x:c r="H132" s="2"/>
      <x:c r="I132" s="2"/>
      <x:c r="J132" s="2"/>
      <x:c r="K132" s="2"/>
    </x:row>
    <x:row r="133">
      <x:c r="A133" s="2"/>
      <x:c r="B133" s="2"/>
      <x:c r="C133" s="2"/>
      <x:c r="D133" s="2"/>
      <x:c r="E133" s="2"/>
      <x:c r="F133" s="2"/>
      <x:c r="G133" s="2"/>
      <x:c r="H133" s="2"/>
      <x:c r="I133" s="2"/>
      <x:c r="J133" s="2"/>
      <x:c r="K133" s="2"/>
    </x:row>
    <x:row r="134">
      <x:c r="A134" s="2"/>
      <x:c r="B134" s="2"/>
      <x:c r="C134" s="2"/>
      <x:c r="D134" s="2"/>
      <x:c r="E134" s="2"/>
      <x:c r="F134" s="2"/>
      <x:c r="G134" s="2"/>
      <x:c r="H134" s="2"/>
      <x:c r="I134" s="2"/>
      <x:c r="J134" s="2"/>
      <x:c r="K134" s="2"/>
    </x:row>
    <x:row r="135">
      <x:c r="A135" s="2"/>
      <x:c r="B135" s="2"/>
      <x:c r="C135" s="2"/>
      <x:c r="D135" s="2"/>
      <x:c r="E135" s="2"/>
      <x:c r="F135" s="2"/>
      <x:c r="G135" s="2"/>
      <x:c r="H135" s="2"/>
      <x:c r="I135" s="2"/>
      <x:c r="J135" s="2"/>
      <x:c r="K135" s="2"/>
    </x:row>
    <x:row r="136">
      <x:c r="A136" s="2"/>
      <x:c r="B136" s="2"/>
      <x:c r="C136" s="2"/>
      <x:c r="D136" s="2"/>
      <x:c r="E136" s="2"/>
      <x:c r="F136" s="2"/>
      <x:c r="G136" s="2"/>
      <x:c r="H136" s="2"/>
      <x:c r="I136" s="2"/>
      <x:c r="J136" s="2"/>
      <x:c r="K136" s="2"/>
    </x:row>
    <x:row r="137">
      <x:c r="A137" s="2"/>
      <x:c r="B137" s="2"/>
      <x:c r="C137" s="2"/>
      <x:c r="D137" s="2"/>
      <x:c r="E137" s="2"/>
      <x:c r="F137" s="2"/>
      <x:c r="G137" s="2"/>
      <x:c r="H137" s="2"/>
      <x:c r="I137" s="2"/>
      <x:c r="J137" s="2"/>
      <x:c r="K137" s="2"/>
    </x:row>
    <x:row r="138">
      <x:c r="A138" s="2"/>
      <x:c r="B138" s="2"/>
      <x:c r="C138" s="2"/>
      <x:c r="D138" s="2"/>
      <x:c r="E138" s="2"/>
      <x:c r="F138" s="2"/>
      <x:c r="G138" s="2"/>
      <x:c r="H138" s="2"/>
      <x:c r="I138" s="2"/>
      <x:c r="J138" s="2"/>
      <x:c r="K138" s="2"/>
    </x:row>
    <x:row r="139">
      <x:c r="A139" s="2"/>
      <x:c r="B139" s="2"/>
      <x:c r="C139" s="2"/>
      <x:c r="D139" s="2"/>
      <x:c r="E139" s="2"/>
      <x:c r="F139" s="2"/>
      <x:c r="G139" s="2"/>
      <x:c r="H139" s="2"/>
      <x:c r="I139" s="2"/>
      <x:c r="J139" s="2"/>
      <x:c r="K139" s="2"/>
    </x:row>
    <x:row r="140">
      <x:c r="A140" s="2"/>
      <x:c r="B140" s="2"/>
      <x:c r="C140" s="2"/>
      <x:c r="D140" s="2"/>
      <x:c r="E140" s="2"/>
      <x:c r="F140" s="2"/>
      <x:c r="G140" s="2"/>
      <x:c r="H140" s="2"/>
      <x:c r="I140" s="2"/>
      <x:c r="J140" s="2"/>
      <x:c r="K140" s="2"/>
    </x:row>
    <x:row r="141">
      <x:c r="A141" s="2"/>
      <x:c r="B141" s="2"/>
      <x:c r="C141" s="2"/>
      <x:c r="D141" s="2"/>
      <x:c r="E141" s="2"/>
      <x:c r="F141" s="2"/>
      <x:c r="G141" s="2"/>
      <x:c r="H141" s="2"/>
      <x:c r="I141" s="2"/>
      <x:c r="J141" s="2"/>
      <x:c r="K141" s="2"/>
    </x:row>
    <x:row r="142">
      <x:c r="A142" s="2"/>
      <x:c r="B142" s="2"/>
      <x:c r="C142" s="2"/>
      <x:c r="D142" s="2"/>
      <x:c r="E142" s="2"/>
      <x:c r="F142" s="2"/>
      <x:c r="G142" s="2"/>
      <x:c r="H142" s="2"/>
      <x:c r="I142" s="2"/>
      <x:c r="J142" s="2"/>
      <x:c r="K142" s="2"/>
    </x:row>
    <x:row r="143">
      <x:c r="A143" s="2"/>
      <x:c r="B143" s="2"/>
      <x:c r="C143" s="2"/>
      <x:c r="D143" s="2"/>
      <x:c r="E143" s="2"/>
      <x:c r="F143" s="2"/>
      <x:c r="G143" s="2"/>
      <x:c r="H143" s="2"/>
      <x:c r="I143" s="2"/>
      <x:c r="J143" s="2"/>
      <x:c r="K143" s="2"/>
    </x:row>
    <x:row r="144">
      <x:c r="A144" s="2"/>
      <x:c r="B144" s="2"/>
      <x:c r="C144" s="2"/>
      <x:c r="D144" s="2"/>
      <x:c r="E144" s="2"/>
      <x:c r="F144" s="2"/>
      <x:c r="G144" s="2"/>
      <x:c r="H144" s="2"/>
      <x:c r="I144" s="2"/>
      <x:c r="J144" s="2"/>
      <x:c r="K144" s="2"/>
    </x:row>
    <x:row r="145">
      <x:c r="A145" s="2"/>
      <x:c r="B145" s="2"/>
      <x:c r="C145" s="2"/>
      <x:c r="D145" s="2"/>
      <x:c r="E145" s="2"/>
      <x:c r="F145" s="2"/>
      <x:c r="G145" s="2"/>
      <x:c r="H145" s="2"/>
      <x:c r="I145" s="2"/>
      <x:c r="J145" s="2"/>
      <x:c r="K145" s="2"/>
    </x:row>
    <x:row r="146">
      <x:c r="A146" s="2"/>
      <x:c r="B146" s="2"/>
      <x:c r="C146" s="2"/>
      <x:c r="D146" s="2"/>
      <x:c r="E146" s="2"/>
      <x:c r="F146" s="2"/>
      <x:c r="G146" s="2"/>
      <x:c r="H146" s="2"/>
      <x:c r="I146" s="2"/>
      <x:c r="J146" s="2"/>
      <x:c r="K146" s="2"/>
    </x:row>
    <x:row r="147">
      <x:c r="A147" s="2"/>
      <x:c r="B147" s="2"/>
      <x:c r="C147" s="2"/>
      <x:c r="D147" s="2"/>
      <x:c r="E147" s="2"/>
      <x:c r="F147" s="2"/>
      <x:c r="G147" s="2"/>
      <x:c r="H147" s="2"/>
      <x:c r="I147" s="2"/>
      <x:c r="J147" s="2"/>
      <x:c r="K147" s="2"/>
    </x:row>
    <x:row r="148">
      <x:c r="A148" s="2"/>
      <x:c r="B148" s="2"/>
      <x:c r="C148" s="2"/>
      <x:c r="D148" s="2"/>
      <x:c r="E148" s="2"/>
      <x:c r="F148" s="2"/>
      <x:c r="G148" s="2"/>
      <x:c r="H148" s="2"/>
      <x:c r="I148" s="2"/>
      <x:c r="J148" s="2"/>
      <x:c r="K148" s="2"/>
    </x:row>
    <x:row r="149">
      <x:c r="A149" s="2"/>
      <x:c r="B149" s="2"/>
      <x:c r="C149" s="2"/>
      <x:c r="D149" s="2"/>
      <x:c r="E149" s="2"/>
      <x:c r="F149" s="2"/>
      <x:c r="G149" s="2"/>
      <x:c r="H149" s="2"/>
      <x:c r="I149" s="2"/>
      <x:c r="J149" s="2"/>
      <x:c r="K149" s="2"/>
    </x:row>
    <x:row r="150">
      <x:c r="A150" s="2"/>
      <x:c r="B150" s="2"/>
      <x:c r="C150" s="2"/>
      <x:c r="D150" s="2"/>
      <x:c r="E150" s="2"/>
      <x:c r="F150" s="2"/>
      <x:c r="G150" s="2"/>
      <x:c r="H150" s="2"/>
      <x:c r="I150" s="2"/>
      <x:c r="J150" s="2"/>
      <x:c r="K150" s="2"/>
    </x:row>
    <x:row r="151">
      <x:c r="A151" s="2"/>
      <x:c r="B151" s="2"/>
      <x:c r="C151" s="2"/>
      <x:c r="D151" s="2"/>
      <x:c r="E151" s="2"/>
      <x:c r="F151" s="2"/>
      <x:c r="G151" s="2"/>
      <x:c r="H151" s="2"/>
      <x:c r="I151" s="2"/>
      <x:c r="J151" s="2"/>
      <x:c r="K151" s="2"/>
    </x:row>
    <x:row r="152">
      <x:c r="A152" s="2"/>
      <x:c r="B152" s="2"/>
      <x:c r="C152" s="2"/>
      <x:c r="D152" s="2"/>
      <x:c r="E152" s="2"/>
      <x:c r="F152" s="2"/>
      <x:c r="G152" s="2"/>
      <x:c r="H152" s="2"/>
      <x:c r="I152" s="2"/>
      <x:c r="J152" s="2"/>
      <x:c r="K152" s="2"/>
    </x:row>
    <x:row r="153">
      <x:c r="A153" s="2"/>
      <x:c r="B153" s="2"/>
      <x:c r="C153" s="2"/>
      <x:c r="D153" s="2"/>
      <x:c r="E153" s="2"/>
      <x:c r="F153" s="2"/>
      <x:c r="G153" s="2"/>
      <x:c r="H153" s="2"/>
      <x:c r="I153" s="2"/>
      <x:c r="J153" s="2"/>
      <x:c r="K153" s="2"/>
    </x:row>
    <x:row r="154">
      <x:c r="A154" s="2"/>
      <x:c r="B154" s="2"/>
      <x:c r="C154" s="2"/>
      <x:c r="D154" s="2"/>
      <x:c r="E154" s="2"/>
      <x:c r="F154" s="2"/>
      <x:c r="G154" s="2"/>
      <x:c r="H154" s="2"/>
      <x:c r="I154" s="2"/>
      <x:c r="J154" s="2"/>
      <x:c r="K154" s="2"/>
    </x:row>
    <x:row r="155">
      <x:c r="A155" s="2"/>
      <x:c r="B155" s="2"/>
      <x:c r="C155" s="2"/>
      <x:c r="D155" s="2"/>
      <x:c r="E155" s="2"/>
      <x:c r="F155" s="2"/>
      <x:c r="G155" s="2"/>
      <x:c r="H155" s="2"/>
      <x:c r="I155" s="2"/>
      <x:c r="J155" s="2"/>
      <x:c r="K155" s="2"/>
    </x:row>
    <x:row r="156">
      <x:c r="A156" s="2"/>
      <x:c r="B156" s="2"/>
      <x:c r="C156" s="2"/>
      <x:c r="D156" s="2"/>
      <x:c r="E156" s="2"/>
      <x:c r="F156" s="2"/>
      <x:c r="G156" s="2"/>
      <x:c r="H156" s="2"/>
      <x:c r="I156" s="2"/>
      <x:c r="J156" s="2"/>
      <x:c r="K156" s="2"/>
    </x:row>
    <x:row r="157">
      <x:c r="A157" s="2"/>
      <x:c r="B157" s="2"/>
      <x:c r="C157" s="2"/>
      <x:c r="D157" s="2"/>
      <x:c r="E157" s="2"/>
      <x:c r="F157" s="2"/>
      <x:c r="G157" s="2"/>
      <x:c r="H157" s="2"/>
      <x:c r="I157" s="2"/>
      <x:c r="J157" s="2"/>
      <x:c r="K157" s="2"/>
    </x:row>
    <x:row r="158">
      <x:c r="A158" s="2"/>
      <x:c r="B158" s="2"/>
      <x:c r="C158" s="2"/>
      <x:c r="D158" s="2"/>
      <x:c r="E158" s="2"/>
      <x:c r="F158" s="2"/>
      <x:c r="G158" s="2"/>
      <x:c r="H158" s="2"/>
      <x:c r="I158" s="2"/>
      <x:c r="J158" s="2"/>
      <x:c r="K158" s="2"/>
    </x:row>
    <x:row r="159">
      <x:c r="A159" s="2"/>
      <x:c r="B159" s="2"/>
      <x:c r="C159" s="2"/>
      <x:c r="D159" s="2"/>
      <x:c r="E159" s="2"/>
      <x:c r="F159" s="2"/>
      <x:c r="G159" s="2"/>
      <x:c r="H159" s="2"/>
      <x:c r="I159" s="2"/>
      <x:c r="J159" s="2"/>
      <x:c r="K159" s="2"/>
    </x:row>
    <x:row r="160">
      <x:c r="A160" s="2"/>
      <x:c r="B160" s="2"/>
      <x:c r="C160" s="2"/>
      <x:c r="D160" s="2"/>
      <x:c r="E160" s="2"/>
      <x:c r="F160" s="2"/>
      <x:c r="G160" s="2"/>
      <x:c r="H160" s="2"/>
      <x:c r="I160" s="2"/>
      <x:c r="J160" s="2"/>
      <x:c r="K160" s="2"/>
    </x:row>
    <x:row r="161">
      <x:c r="A161" s="2"/>
      <x:c r="B161" s="2"/>
      <x:c r="C161" s="2"/>
      <x:c r="D161" s="2"/>
      <x:c r="E161" s="2"/>
      <x:c r="F161" s="2"/>
      <x:c r="G161" s="2"/>
      <x:c r="H161" s="2"/>
      <x:c r="I161" s="2"/>
      <x:c r="J161" s="2"/>
      <x:c r="K161" s="2"/>
    </x:row>
    <x:row r="162">
      <x:c r="A162" s="2"/>
      <x:c r="B162" s="2"/>
      <x:c r="C162" s="2"/>
      <x:c r="D162" s="2"/>
      <x:c r="E162" s="2"/>
      <x:c r="F162" s="2"/>
      <x:c r="G162" s="2"/>
      <x:c r="H162" s="2"/>
      <x:c r="I162" s="2"/>
      <x:c r="J162" s="2"/>
      <x:c r="K162" s="2"/>
    </x:row>
    <x:row r="163">
      <x:c r="A163" s="2"/>
      <x:c r="B163" s="2"/>
      <x:c r="C163" s="2"/>
      <x:c r="D163" s="2"/>
      <x:c r="E163" s="2"/>
      <x:c r="F163" s="2"/>
      <x:c r="G163" s="2"/>
      <x:c r="H163" s="2"/>
      <x:c r="I163" s="2"/>
      <x:c r="J163" s="2"/>
      <x:c r="K163" s="2"/>
    </x:row>
    <x:row r="164">
      <x:c r="A164" s="2"/>
      <x:c r="B164" s="2"/>
      <x:c r="C164" s="2"/>
      <x:c r="D164" s="2"/>
      <x:c r="E164" s="2"/>
      <x:c r="F164" s="2"/>
      <x:c r="G164" s="2"/>
      <x:c r="H164" s="2"/>
      <x:c r="I164" s="2"/>
      <x:c r="J164" s="2"/>
      <x:c r="K164" s="2"/>
    </x:row>
    <x:row r="165">
      <x:c r="A165" s="2"/>
      <x:c r="B165" s="2"/>
      <x:c r="C165" s="2"/>
      <x:c r="D165" s="2"/>
      <x:c r="E165" s="2"/>
      <x:c r="F165" s="2"/>
      <x:c r="G165" s="2"/>
      <x:c r="H165" s="2"/>
      <x:c r="I165" s="2"/>
      <x:c r="J165" s="2"/>
      <x:c r="K165" s="2"/>
    </x:row>
    <x:row r="166">
      <x:c r="A166" s="2"/>
      <x:c r="B166" s="2"/>
      <x:c r="C166" s="2"/>
      <x:c r="D166" s="2"/>
      <x:c r="E166" s="2"/>
      <x:c r="F166" s="2"/>
      <x:c r="G166" s="2"/>
      <x:c r="H166" s="2"/>
      <x:c r="I166" s="2"/>
      <x:c r="J166" s="2"/>
      <x:c r="K166" s="2"/>
    </x:row>
    <x:row r="167">
      <x:c r="A167" s="2"/>
      <x:c r="B167" s="2"/>
      <x:c r="C167" s="2"/>
      <x:c r="D167" s="2"/>
      <x:c r="E167" s="2"/>
      <x:c r="F167" s="2"/>
      <x:c r="G167" s="2"/>
      <x:c r="H167" s="2"/>
      <x:c r="I167" s="2"/>
      <x:c r="J167" s="2"/>
      <x:c r="K167" s="2"/>
    </x:row>
    <x:row r="168">
      <x:c r="A168" s="2"/>
      <x:c r="B168" s="2"/>
      <x:c r="C168" s="2"/>
      <x:c r="D168" s="2"/>
      <x:c r="E168" s="2"/>
      <x:c r="F168" s="2"/>
      <x:c r="G168" s="2"/>
      <x:c r="H168" s="2"/>
      <x:c r="I168" s="2"/>
      <x:c r="J168" s="2"/>
      <x:c r="K168" s="2"/>
    </x:row>
    <x:row r="169">
      <x:c r="A169" s="2"/>
      <x:c r="B169" s="2"/>
      <x:c r="C169" s="2"/>
      <x:c r="D169" s="2"/>
      <x:c r="E169" s="2"/>
      <x:c r="F169" s="2"/>
      <x:c r="G169" s="2"/>
      <x:c r="H169" s="2"/>
      <x:c r="I169" s="2"/>
      <x:c r="J169" s="2"/>
      <x:c r="K169" s="2"/>
    </x:row>
    <x:row r="170">
      <x:c r="A170" s="2"/>
      <x:c r="B170" s="2"/>
      <x:c r="C170" s="2"/>
      <x:c r="D170" s="2"/>
      <x:c r="E170" s="2"/>
      <x:c r="F170" s="2"/>
      <x:c r="G170" s="2"/>
      <x:c r="H170" s="2"/>
      <x:c r="I170" s="2"/>
      <x:c r="J170" s="2"/>
      <x:c r="K170" s="2"/>
    </x:row>
    <x:row r="171">
      <x:c r="A171" s="2"/>
      <x:c r="B171" s="2"/>
      <x:c r="C171" s="2"/>
      <x:c r="D171" s="2"/>
      <x:c r="E171" s="2"/>
      <x:c r="F171" s="2"/>
      <x:c r="G171" s="2"/>
      <x:c r="H171" s="2"/>
      <x:c r="I171" s="2"/>
      <x:c r="J171" s="2"/>
      <x:c r="K171" s="2"/>
    </x:row>
    <x:row r="172">
      <x:c r="A172" s="2"/>
      <x:c r="B172" s="2"/>
      <x:c r="C172" s="2"/>
      <x:c r="D172" s="2"/>
      <x:c r="E172" s="2"/>
      <x:c r="F172" s="2"/>
      <x:c r="G172" s="2"/>
      <x:c r="H172" s="2"/>
      <x:c r="I172" s="2"/>
      <x:c r="J172" s="2"/>
      <x:c r="K172" s="2"/>
    </x:row>
    <x:row r="173">
      <x:c r="A173" s="2"/>
      <x:c r="B173" s="2"/>
      <x:c r="C173" s="2"/>
      <x:c r="D173" s="2"/>
      <x:c r="E173" s="2"/>
      <x:c r="F173" s="2"/>
      <x:c r="G173" s="2"/>
      <x:c r="H173" s="2"/>
      <x:c r="I173" s="2"/>
      <x:c r="J173" s="2"/>
      <x:c r="K173" s="2"/>
    </x:row>
    <x:row r="174">
      <x:c r="A174" s="2"/>
      <x:c r="B174" s="2"/>
      <x:c r="C174" s="2"/>
      <x:c r="D174" s="2"/>
      <x:c r="E174" s="2"/>
      <x:c r="F174" s="2"/>
      <x:c r="G174" s="2"/>
      <x:c r="H174" s="2"/>
      <x:c r="I174" s="2"/>
      <x:c r="J174" s="2"/>
      <x:c r="K174" s="2"/>
    </x:row>
    <x:row r="175">
      <x:c r="A175" s="2"/>
      <x:c r="B175" s="2"/>
      <x:c r="C175" s="2"/>
      <x:c r="D175" s="2"/>
      <x:c r="E175" s="2"/>
      <x:c r="F175" s="2"/>
      <x:c r="G175" s="2"/>
      <x:c r="H175" s="2"/>
      <x:c r="I175" s="2"/>
      <x:c r="J175" s="2"/>
      <x:c r="K175" s="2"/>
    </x:row>
    <x:row r="176">
      <x:c r="A176" s="2"/>
      <x:c r="B176" s="2"/>
      <x:c r="C176" s="2"/>
      <x:c r="D176" s="2"/>
      <x:c r="E176" s="2"/>
      <x:c r="F176" s="2"/>
      <x:c r="G176" s="2"/>
      <x:c r="H176" s="2"/>
      <x:c r="I176" s="2"/>
      <x:c r="J176" s="2"/>
      <x:c r="K176" s="2"/>
    </x:row>
    <x:row r="177">
      <x:c r="A177" s="2"/>
      <x:c r="B177" s="2"/>
      <x:c r="C177" s="2"/>
      <x:c r="D177" s="2"/>
      <x:c r="E177" s="2"/>
      <x:c r="F177" s="2"/>
      <x:c r="G177" s="2"/>
      <x:c r="H177" s="2"/>
      <x:c r="I177" s="2"/>
      <x:c r="J177" s="2"/>
      <x:c r="K177" s="2"/>
    </x:row>
    <x:row r="178">
      <x:c r="A178" s="2"/>
      <x:c r="B178" s="2"/>
      <x:c r="C178" s="2"/>
      <x:c r="D178" s="2"/>
      <x:c r="E178" s="2"/>
      <x:c r="F178" s="2"/>
      <x:c r="G178" s="2"/>
      <x:c r="H178" s="2"/>
      <x:c r="I178" s="2"/>
      <x:c r="J178" s="2"/>
      <x:c r="K178" s="2"/>
    </x:row>
    <x:row r="179">
      <x:c r="A179" s="2"/>
      <x:c r="B179" s="2"/>
      <x:c r="C179" s="2"/>
      <x:c r="D179" s="2"/>
      <x:c r="E179" s="2"/>
      <x:c r="F179" s="2"/>
      <x:c r="G179" s="2"/>
      <x:c r="H179" s="2"/>
      <x:c r="I179" s="2"/>
      <x:c r="J179" s="2"/>
      <x:c r="K179" s="2"/>
    </x:row>
    <x:row r="180">
      <x:c r="A180" s="2"/>
      <x:c r="B180" s="2"/>
      <x:c r="C180" s="2"/>
      <x:c r="D180" s="2"/>
      <x:c r="E180" s="2"/>
      <x:c r="F180" s="2"/>
      <x:c r="G180" s="2"/>
      <x:c r="H180" s="2"/>
      <x:c r="I180" s="2"/>
      <x:c r="J180" s="2"/>
      <x:c r="K180" s="2"/>
    </x:row>
    <x:row r="181">
      <x:c r="A181" s="2"/>
      <x:c r="B181" s="2"/>
      <x:c r="C181" s="2"/>
      <x:c r="D181" s="2"/>
      <x:c r="E181" s="2"/>
      <x:c r="F181" s="2"/>
      <x:c r="G181" s="2"/>
      <x:c r="H181" s="2"/>
      <x:c r="I181" s="2"/>
      <x:c r="J181" s="2"/>
      <x:c r="K181" s="2"/>
    </x:row>
    <x:row r="182">
      <x:c r="A182" s="2"/>
      <x:c r="B182" s="2"/>
      <x:c r="C182" s="2"/>
      <x:c r="D182" s="2"/>
      <x:c r="E182" s="2"/>
      <x:c r="F182" s="2"/>
      <x:c r="G182" s="2"/>
      <x:c r="H182" s="2"/>
      <x:c r="I182" s="2"/>
      <x:c r="J182" s="2"/>
      <x:c r="K182" s="2"/>
    </x:row>
    <x:row r="183">
      <x:c r="A183" s="2"/>
      <x:c r="B183" s="2"/>
      <x:c r="C183" s="2"/>
      <x:c r="D183" s="2"/>
      <x:c r="E183" s="2"/>
      <x:c r="F183" s="2"/>
      <x:c r="G183" s="2"/>
      <x:c r="H183" s="2"/>
      <x:c r="I183" s="2"/>
      <x:c r="J183" s="2"/>
      <x:c r="K183" s="2"/>
    </x:row>
    <x:row r="184">
      <x:c r="A184" s="2"/>
      <x:c r="B184" s="2"/>
      <x:c r="C184" s="2"/>
      <x:c r="D184" s="2"/>
      <x:c r="E184" s="2"/>
      <x:c r="F184" s="2"/>
      <x:c r="G184" s="2"/>
      <x:c r="H184" s="2"/>
      <x:c r="I184" s="2"/>
      <x:c r="J184" s="2"/>
      <x:c r="K184" s="2"/>
    </x:row>
    <x:row r="185">
      <x:c r="A185" s="2"/>
      <x:c r="B185" s="2"/>
      <x:c r="C185" s="2"/>
      <x:c r="D185" s="2"/>
      <x:c r="E185" s="2"/>
      <x:c r="F185" s="2"/>
      <x:c r="G185" s="2"/>
      <x:c r="H185" s="2"/>
      <x:c r="I185" s="2"/>
      <x:c r="J185" s="2"/>
      <x:c r="K185" s="2"/>
    </x:row>
    <x:row r="186">
      <x:c r="A186" s="2"/>
      <x:c r="B186" s="2"/>
      <x:c r="C186" s="2"/>
      <x:c r="D186" s="2"/>
      <x:c r="E186" s="2"/>
      <x:c r="F186" s="2"/>
      <x:c r="G186" s="2"/>
      <x:c r="H186" s="2"/>
      <x:c r="I186" s="2"/>
      <x:c r="J186" s="2"/>
      <x:c r="K186" s="2"/>
    </x:row>
    <x:row r="187">
      <x:c r="A187" s="2"/>
      <x:c r="B187" s="2"/>
      <x:c r="C187" s="2"/>
      <x:c r="D187" s="2"/>
      <x:c r="E187" s="2"/>
      <x:c r="F187" s="2"/>
      <x:c r="G187" s="2"/>
      <x:c r="H187" s="2"/>
      <x:c r="I187" s="2"/>
      <x:c r="J187" s="2"/>
      <x:c r="K187" s="2"/>
    </x:row>
    <x:row r="188">
      <x:c r="A188" s="2"/>
      <x:c r="B188" s="2"/>
      <x:c r="C188" s="2"/>
      <x:c r="D188" s="2"/>
      <x:c r="E188" s="2"/>
      <x:c r="F188" s="2"/>
      <x:c r="G188" s="2"/>
      <x:c r="H188" s="2"/>
      <x:c r="I188" s="2"/>
      <x:c r="J188" s="2"/>
      <x:c r="K188" s="2"/>
    </x:row>
    <x:row r="189">
      <x:c r="A189" s="2"/>
      <x:c r="B189" s="2"/>
      <x:c r="C189" s="2"/>
      <x:c r="D189" s="2"/>
      <x:c r="E189" s="2"/>
      <x:c r="F189" s="2"/>
      <x:c r="G189" s="2"/>
      <x:c r="H189" s="2"/>
      <x:c r="I189" s="2"/>
      <x:c r="J189" s="2"/>
      <x:c r="K189" s="2"/>
    </x:row>
    <x:row r="190">
      <x:c r="A190" s="2"/>
      <x:c r="B190" s="2"/>
      <x:c r="C190" s="2"/>
      <x:c r="D190" s="2"/>
      <x:c r="E190" s="2"/>
      <x:c r="F190" s="2"/>
      <x:c r="G190" s="2"/>
      <x:c r="H190" s="2"/>
      <x:c r="I190" s="2"/>
      <x:c r="J190" s="2"/>
      <x:c r="K190" s="2"/>
    </x:row>
    <x:row r="191">
      <x:c r="A191" s="2"/>
      <x:c r="B191" s="2"/>
      <x:c r="C191" s="2"/>
      <x:c r="D191" s="2"/>
      <x:c r="E191" s="2"/>
      <x:c r="F191" s="2"/>
      <x:c r="G191" s="2"/>
      <x:c r="H191" s="2"/>
      <x:c r="I191" s="2"/>
      <x:c r="J191" s="2"/>
      <x:c r="K191" s="2"/>
    </x:row>
    <x:row r="192">
      <x:c r="A192" s="2"/>
      <x:c r="B192" s="2"/>
      <x:c r="C192" s="2"/>
      <x:c r="D192" s="2"/>
      <x:c r="E192" s="2"/>
      <x:c r="F192" s="2"/>
      <x:c r="G192" s="2"/>
      <x:c r="H192" s="2"/>
      <x:c r="I192" s="2"/>
      <x:c r="J192" s="2"/>
      <x:c r="K192" s="2"/>
    </x:row>
    <x:row r="193">
      <x:c r="A193" s="2"/>
      <x:c r="B193" s="2"/>
      <x:c r="C193" s="2"/>
      <x:c r="D193" s="2"/>
      <x:c r="E193" s="2"/>
      <x:c r="F193" s="2"/>
      <x:c r="G193" s="2"/>
      <x:c r="H193" s="2"/>
      <x:c r="I193" s="2"/>
      <x:c r="J193" s="2"/>
      <x:c r="K193" s="2"/>
    </x:row>
    <x:row r="194">
      <x:c r="A194" s="2"/>
      <x:c r="B194" s="2"/>
      <x:c r="C194" s="2"/>
      <x:c r="D194" s="2"/>
      <x:c r="E194" s="2"/>
      <x:c r="F194" s="2"/>
      <x:c r="G194" s="2"/>
      <x:c r="H194" s="2"/>
      <x:c r="I194" s="2"/>
      <x:c r="J194" s="2"/>
      <x:c r="K194" s="2"/>
    </x:row>
    <x:row r="195">
      <x:c r="A195" s="2"/>
      <x:c r="B195" s="2"/>
      <x:c r="C195" s="2"/>
      <x:c r="D195" s="2"/>
      <x:c r="E195" s="2"/>
      <x:c r="F195" s="2"/>
      <x:c r="G195" s="2"/>
      <x:c r="H195" s="2"/>
      <x:c r="I195" s="2"/>
      <x:c r="J195" s="2"/>
      <x:c r="K195" s="2"/>
    </x:row>
    <x:row r="196">
      <x:c r="A196" s="2"/>
      <x:c r="B196" s="2"/>
      <x:c r="C196" s="2"/>
      <x:c r="D196" s="2"/>
      <x:c r="E196" s="2"/>
      <x:c r="F196" s="2"/>
      <x:c r="G196" s="2"/>
      <x:c r="H196" s="2"/>
      <x:c r="I196" s="2"/>
      <x:c r="J196" s="2"/>
      <x:c r="K196" s="2"/>
    </x:row>
    <x:row r="197">
      <x:c r="A197" s="2"/>
      <x:c r="B197" s="2"/>
      <x:c r="C197" s="2"/>
      <x:c r="D197" s="2"/>
      <x:c r="E197" s="2"/>
      <x:c r="F197" s="2"/>
      <x:c r="G197" s="2"/>
      <x:c r="H197" s="2"/>
      <x:c r="I197" s="2"/>
      <x:c r="J197" s="2"/>
      <x:c r="K197" s="2"/>
    </x:row>
    <x:row r="198">
      <x:c r="A198" s="2"/>
      <x:c r="B198" s="2"/>
      <x:c r="C198" s="2"/>
      <x:c r="D198" s="2"/>
      <x:c r="E198" s="2"/>
      <x:c r="F198" s="2"/>
      <x:c r="G198" s="2"/>
      <x:c r="H198" s="2"/>
      <x:c r="I198" s="2"/>
      <x:c r="J198" s="2"/>
      <x:c r="K198" s="2"/>
    </x:row>
    <x:row r="199">
      <x:c r="A199" s="2"/>
      <x:c r="B199" s="2"/>
      <x:c r="C199" s="2"/>
      <x:c r="D199" s="2"/>
      <x:c r="E199" s="2"/>
      <x:c r="F199" s="2"/>
      <x:c r="G199" s="2"/>
      <x:c r="H199" s="2"/>
      <x:c r="I199" s="2"/>
      <x:c r="J199" s="2"/>
      <x:c r="K199" s="2"/>
    </x:row>
    <x:row r="200">
      <x:c r="A200" s="2"/>
      <x:c r="B200" s="2"/>
      <x:c r="C200" s="2"/>
      <x:c r="D200" s="2"/>
      <x:c r="E200" s="2"/>
      <x:c r="F200" s="2"/>
      <x:c r="G200" s="2"/>
      <x:c r="H200" s="2"/>
      <x:c r="I200" s="2"/>
      <x:c r="J200" s="2"/>
      <x:c r="K200" s="2"/>
    </x:row>
    <x:row r="201">
      <x:c r="A201" s="2"/>
      <x:c r="B201" s="2"/>
      <x:c r="C201" s="2"/>
      <x:c r="D201" s="2"/>
      <x:c r="E201" s="2"/>
      <x:c r="F201" s="2"/>
      <x:c r="G201" s="2"/>
      <x:c r="H201" s="2"/>
      <x:c r="I201" s="2"/>
      <x:c r="J201" s="2"/>
      <x:c r="K201" s="2"/>
    </x:row>
    <x:row r="202">
      <x:c r="A202" s="2"/>
      <x:c r="B202" s="2"/>
      <x:c r="C202" s="2"/>
      <x:c r="D202" s="2"/>
      <x:c r="E202" s="2"/>
      <x:c r="F202" s="2"/>
      <x:c r="G202" s="2"/>
      <x:c r="H202" s="2"/>
      <x:c r="I202" s="2"/>
      <x:c r="J202" s="2"/>
      <x:c r="K202" s="2"/>
    </x:row>
    <x:row r="203">
      <x:c r="A203" s="2"/>
      <x:c r="B203" s="2"/>
      <x:c r="C203" s="2"/>
      <x:c r="D203" s="2"/>
      <x:c r="E203" s="2"/>
      <x:c r="F203" s="2"/>
      <x:c r="G203" s="2"/>
      <x:c r="H203" s="2"/>
      <x:c r="I203" s="2"/>
      <x:c r="J203" s="2"/>
      <x:c r="K203" s="2"/>
    </x:row>
    <x:row r="204">
      <x:c r="A204" s="2"/>
      <x:c r="B204" s="2"/>
      <x:c r="C204" s="2"/>
      <x:c r="D204" s="2"/>
      <x:c r="E204" s="2"/>
      <x:c r="F204" s="2"/>
      <x:c r="G204" s="2"/>
      <x:c r="H204" s="2"/>
      <x:c r="I204" s="2"/>
      <x:c r="J204" s="2"/>
      <x:c r="K204" s="2"/>
    </x:row>
    <x:row r="205">
      <x:c r="A205" s="2"/>
      <x:c r="B205" s="2"/>
      <x:c r="C205" s="2"/>
      <x:c r="D205" s="2"/>
      <x:c r="E205" s="2"/>
      <x:c r="F205" s="2"/>
      <x:c r="G205" s="2"/>
      <x:c r="H205" s="2"/>
      <x:c r="I205" s="2"/>
      <x:c r="J205" s="2"/>
      <x:c r="K205" s="2"/>
    </x:row>
    <x:row r="206">
      <x:c r="A206" s="2"/>
      <x:c r="B206" s="2"/>
      <x:c r="C206" s="2"/>
      <x:c r="D206" s="2"/>
      <x:c r="E206" s="2"/>
      <x:c r="F206" s="2"/>
      <x:c r="G206" s="2"/>
      <x:c r="H206" s="2"/>
      <x:c r="I206" s="2"/>
      <x:c r="J206" s="2"/>
      <x:c r="K206" s="2"/>
    </x:row>
    <x:row r="207">
      <x:c r="A207" s="2"/>
      <x:c r="B207" s="2"/>
      <x:c r="C207" s="2"/>
      <x:c r="D207" s="2"/>
      <x:c r="E207" s="2"/>
      <x:c r="F207" s="2"/>
      <x:c r="G207" s="2"/>
      <x:c r="H207" s="2"/>
      <x:c r="I207" s="2"/>
      <x:c r="J207" s="2"/>
      <x:c r="K207" s="2"/>
    </x:row>
    <x:row r="208">
      <x:c r="A208" s="2"/>
      <x:c r="B208" s="2"/>
      <x:c r="C208" s="2"/>
      <x:c r="D208" s="2"/>
      <x:c r="E208" s="2"/>
      <x:c r="F208" s="2"/>
      <x:c r="G208" s="2"/>
      <x:c r="H208" s="2"/>
      <x:c r="I208" s="2"/>
      <x:c r="J208" s="2"/>
      <x:c r="K208" s="2"/>
    </x:row>
    <x:row r="209">
      <x:c r="A209" s="2"/>
      <x:c r="B209" s="2"/>
      <x:c r="C209" s="2"/>
      <x:c r="D209" s="2"/>
      <x:c r="E209" s="2"/>
      <x:c r="F209" s="2"/>
      <x:c r="G209" s="2"/>
      <x:c r="H209" s="2"/>
      <x:c r="I209" s="2"/>
      <x:c r="J209" s="2"/>
      <x:c r="K209" s="2"/>
    </x:row>
    <x:row r="210">
      <x:c r="A210" s="2"/>
      <x:c r="B210" s="2"/>
      <x:c r="C210" s="2"/>
      <x:c r="D210" s="2"/>
      <x:c r="E210" s="2"/>
      <x:c r="F210" s="2"/>
      <x:c r="G210" s="2"/>
      <x:c r="H210" s="2"/>
      <x:c r="I210" s="2"/>
      <x:c r="J210" s="2"/>
      <x:c r="K210" s="2"/>
    </x:row>
    <x:row r="211">
      <x:c r="A211" s="2"/>
      <x:c r="B211" s="2"/>
      <x:c r="C211" s="2"/>
      <x:c r="D211" s="2"/>
      <x:c r="E211" s="2"/>
      <x:c r="F211" s="2"/>
      <x:c r="G211" s="2"/>
      <x:c r="H211" s="2"/>
      <x:c r="I211" s="2"/>
      <x:c r="J211" s="2"/>
      <x:c r="K211" s="2"/>
    </x:row>
    <x:row r="212">
      <x:c r="A212" s="2"/>
      <x:c r="B212" s="2"/>
      <x:c r="C212" s="2"/>
      <x:c r="D212" s="2"/>
      <x:c r="E212" s="2"/>
      <x:c r="F212" s="2"/>
      <x:c r="G212" s="2"/>
      <x:c r="H212" s="2"/>
      <x:c r="I212" s="2"/>
      <x:c r="J212" s="2"/>
      <x:c r="K212" s="2"/>
    </x:row>
    <x:row r="213">
      <x:c r="A213" s="2"/>
      <x:c r="B213" s="2"/>
      <x:c r="C213" s="2"/>
      <x:c r="D213" s="2"/>
      <x:c r="E213" s="2"/>
      <x:c r="F213" s="2"/>
      <x:c r="G213" s="2"/>
      <x:c r="H213" s="2"/>
      <x:c r="I213" s="2"/>
      <x:c r="J213" s="2"/>
      <x:c r="K213" s="2"/>
    </x:row>
    <x:row r="214">
      <x:c r="A214" s="2"/>
      <x:c r="B214" s="2"/>
      <x:c r="C214" s="2"/>
      <x:c r="D214" s="2"/>
      <x:c r="E214" s="2"/>
      <x:c r="F214" s="2"/>
      <x:c r="G214" s="2"/>
      <x:c r="H214" s="2"/>
      <x:c r="I214" s="2"/>
      <x:c r="J214" s="2"/>
      <x:c r="K214" s="2"/>
    </x:row>
    <x:row r="215">
      <x:c r="A215" s="2"/>
      <x:c r="B215" s="2"/>
      <x:c r="C215" s="2"/>
      <x:c r="D215" s="2"/>
      <x:c r="E215" s="2"/>
      <x:c r="F215" s="2"/>
      <x:c r="G215" s="2"/>
      <x:c r="H215" s="2"/>
      <x:c r="I215" s="2"/>
      <x:c r="J215" s="2"/>
      <x:c r="K215" s="2"/>
    </x:row>
    <x:row r="216">
      <x:c r="A216" s="2"/>
      <x:c r="B216" s="2"/>
      <x:c r="C216" s="2"/>
      <x:c r="D216" s="2"/>
      <x:c r="E216" s="2"/>
      <x:c r="F216" s="2"/>
      <x:c r="G216" s="2"/>
      <x:c r="H216" s="2"/>
      <x:c r="I216" s="2"/>
      <x:c r="J216" s="2"/>
      <x:c r="K216" s="2"/>
    </x:row>
    <x:row r="217">
      <x:c r="A217" s="2"/>
      <x:c r="B217" s="2"/>
      <x:c r="C217" s="2"/>
      <x:c r="D217" s="2"/>
      <x:c r="E217" s="2"/>
      <x:c r="F217" s="2"/>
      <x:c r="G217" s="2"/>
      <x:c r="H217" s="2"/>
      <x:c r="I217" s="2"/>
      <x:c r="J217" s="2"/>
      <x:c r="K217" s="2"/>
    </x:row>
    <x:row r="218">
      <x:c r="A218" s="2"/>
      <x:c r="B218" s="2"/>
      <x:c r="C218" s="2"/>
      <x:c r="D218" s="2"/>
      <x:c r="E218" s="2"/>
      <x:c r="F218" s="2"/>
      <x:c r="G218" s="2"/>
      <x:c r="H218" s="2"/>
      <x:c r="I218" s="2"/>
      <x:c r="J218" s="2"/>
      <x:c r="K218" s="2"/>
    </x:row>
    <x:row r="219">
      <x:c r="A219" s="2"/>
      <x:c r="B219" s="2"/>
      <x:c r="C219" s="2"/>
      <x:c r="D219" s="2"/>
      <x:c r="E219" s="2"/>
      <x:c r="F219" s="2"/>
      <x:c r="G219" s="2"/>
      <x:c r="H219" s="2"/>
      <x:c r="I219" s="2"/>
      <x:c r="J219" s="2"/>
      <x:c r="K219" s="2"/>
    </x:row>
    <x:row r="220">
      <x:c r="A220" s="2"/>
      <x:c r="B220" s="2"/>
      <x:c r="C220" s="2"/>
      <x:c r="D220" s="2"/>
      <x:c r="E220" s="2"/>
      <x:c r="F220" s="2"/>
      <x:c r="G220" s="2"/>
      <x:c r="H220" s="2"/>
      <x:c r="I220" s="2"/>
      <x:c r="J220" s="2"/>
      <x:c r="K220" s="2"/>
    </x:row>
    <x:row r="221">
      <x:c r="A221" s="2"/>
      <x:c r="B221" s="2"/>
      <x:c r="C221" s="2"/>
      <x:c r="D221" s="2"/>
      <x:c r="E221" s="2"/>
      <x:c r="F221" s="2"/>
      <x:c r="G221" s="2"/>
      <x:c r="H221" s="2"/>
      <x:c r="I221" s="2"/>
      <x:c r="J221" s="2"/>
      <x:c r="K221" s="2"/>
    </x:row>
    <x:row r="222">
      <x:c r="A222" s="2"/>
      <x:c r="B222" s="2"/>
      <x:c r="C222" s="2"/>
      <x:c r="D222" s="2"/>
      <x:c r="E222" s="2"/>
      <x:c r="F222" s="2"/>
      <x:c r="G222" s="2"/>
      <x:c r="H222" s="2"/>
      <x:c r="I222" s="2"/>
      <x:c r="J222" s="2"/>
      <x:c r="K222" s="2"/>
    </x:row>
    <x:row r="223">
      <x:c r="A223" s="2"/>
      <x:c r="B223" s="2"/>
      <x:c r="C223" s="2"/>
      <x:c r="D223" s="2"/>
      <x:c r="E223" s="2"/>
      <x:c r="F223" s="2"/>
      <x:c r="G223" s="2"/>
      <x:c r="H223" s="2"/>
      <x:c r="I223" s="2"/>
      <x:c r="J223" s="2"/>
      <x:c r="K223" s="2"/>
    </x:row>
    <x:row r="224">
      <x:c r="A224" s="2"/>
      <x:c r="B224" s="2"/>
      <x:c r="C224" s="2"/>
      <x:c r="D224" s="2"/>
      <x:c r="E224" s="2"/>
      <x:c r="F224" s="2"/>
      <x:c r="G224" s="2"/>
      <x:c r="H224" s="2"/>
      <x:c r="I224" s="2"/>
      <x:c r="J224" s="2"/>
      <x:c r="K224" s="2"/>
    </x:row>
    <x:row r="225">
      <x:c r="A225" s="2"/>
      <x:c r="B225" s="2"/>
      <x:c r="C225" s="2"/>
      <x:c r="D225" s="2"/>
      <x:c r="E225" s="2"/>
      <x:c r="F225" s="2"/>
      <x:c r="G225" s="2"/>
      <x:c r="H225" s="2"/>
      <x:c r="I225" s="2"/>
      <x:c r="J225" s="2"/>
      <x:c r="K225" s="2"/>
    </x:row>
    <x:row r="226">
      <x:c r="A226" s="2"/>
      <x:c r="B226" s="2"/>
      <x:c r="C226" s="2"/>
      <x:c r="D226" s="2"/>
      <x:c r="E226" s="2"/>
      <x:c r="F226" s="2"/>
      <x:c r="G226" s="2"/>
      <x:c r="H226" s="2"/>
      <x:c r="I226" s="2"/>
      <x:c r="J226" s="2"/>
      <x:c r="K226" s="2"/>
    </x:row>
    <x:row r="227">
      <x:c r="A227" s="2"/>
      <x:c r="B227" s="2"/>
      <x:c r="C227" s="2"/>
      <x:c r="D227" s="2"/>
      <x:c r="E227" s="2"/>
      <x:c r="F227" s="2"/>
      <x:c r="G227" s="2"/>
      <x:c r="H227" s="2"/>
      <x:c r="I227" s="2"/>
      <x:c r="J227" s="2"/>
      <x:c r="K227" s="2"/>
    </x:row>
    <x:row r="228">
      <x:c r="A228" s="2"/>
      <x:c r="B228" s="2"/>
      <x:c r="C228" s="2"/>
      <x:c r="D228" s="2"/>
      <x:c r="E228" s="2"/>
      <x:c r="F228" s="2"/>
      <x:c r="G228" s="2"/>
      <x:c r="H228" s="2"/>
      <x:c r="I228" s="2"/>
      <x:c r="J228" s="2"/>
      <x:c r="K228" s="2"/>
    </x:row>
    <x:row r="229">
      <x:c r="A229" s="2"/>
      <x:c r="B229" s="2"/>
      <x:c r="C229" s="2"/>
      <x:c r="D229" s="2"/>
      <x:c r="E229" s="2"/>
      <x:c r="F229" s="2"/>
      <x:c r="G229" s="2"/>
      <x:c r="H229" s="2"/>
      <x:c r="I229" s="2"/>
      <x:c r="J229" s="2"/>
      <x:c r="K229" s="2"/>
    </x:row>
    <x:row r="230">
      <x:c r="A230" s="2"/>
      <x:c r="B230" s="2"/>
      <x:c r="C230" s="2"/>
      <x:c r="D230" s="2"/>
      <x:c r="E230" s="2"/>
      <x:c r="F230" s="2"/>
      <x:c r="G230" s="2"/>
      <x:c r="H230" s="2"/>
      <x:c r="I230" s="2"/>
      <x:c r="J230" s="2"/>
      <x:c r="K230" s="2"/>
    </x:row>
    <x:row r="231">
      <x:c r="A231" s="2"/>
      <x:c r="B231" s="2"/>
      <x:c r="C231" s="2"/>
      <x:c r="D231" s="2"/>
      <x:c r="E231" s="2"/>
      <x:c r="F231" s="2"/>
      <x:c r="G231" s="2"/>
      <x:c r="H231" s="2"/>
      <x:c r="I231" s="2"/>
      <x:c r="J231" s="2"/>
      <x:c r="K231" s="2"/>
    </x:row>
    <x:row r="232">
      <x:c r="A232" s="2"/>
      <x:c r="B232" s="2"/>
      <x:c r="C232" s="2"/>
      <x:c r="D232" s="2"/>
      <x:c r="E232" s="2"/>
      <x:c r="F232" s="2"/>
      <x:c r="G232" s="2"/>
      <x:c r="H232" s="2"/>
      <x:c r="I232" s="2"/>
      <x:c r="J232" s="2"/>
      <x:c r="K232" s="2"/>
    </x:row>
    <x:row r="233">
      <x:c r="A233" s="2"/>
      <x:c r="B233" s="2"/>
      <x:c r="C233" s="2"/>
      <x:c r="D233" s="2"/>
      <x:c r="E233" s="2"/>
      <x:c r="F233" s="2"/>
      <x:c r="G233" s="2"/>
      <x:c r="H233" s="2"/>
      <x:c r="I233" s="2"/>
      <x:c r="J233" s="2"/>
      <x:c r="K233" s="2"/>
    </x:row>
    <x:row r="234">
      <x:c r="A234" s="2"/>
      <x:c r="B234" s="2"/>
      <x:c r="C234" s="2"/>
      <x:c r="D234" s="2"/>
      <x:c r="E234" s="2"/>
      <x:c r="F234" s="2"/>
      <x:c r="G234" s="2"/>
      <x:c r="H234" s="2"/>
      <x:c r="I234" s="2"/>
      <x:c r="J234" s="2"/>
      <x:c r="K234" s="2"/>
    </x:row>
    <x:row r="235">
      <x:c r="A235" s="2"/>
      <x:c r="B235" s="2"/>
      <x:c r="C235" s="2"/>
      <x:c r="D235" s="2"/>
      <x:c r="E235" s="2"/>
      <x:c r="F235" s="2"/>
      <x:c r="G235" s="2"/>
      <x:c r="H235" s="2"/>
      <x:c r="I235" s="2"/>
      <x:c r="J235" s="2"/>
      <x:c r="K235" s="2"/>
    </x:row>
    <x:row r="236">
      <x:c r="A236" s="2"/>
      <x:c r="B236" s="2"/>
      <x:c r="C236" s="2"/>
      <x:c r="D236" s="2"/>
      <x:c r="E236" s="2"/>
      <x:c r="F236" s="2"/>
      <x:c r="G236" s="2"/>
      <x:c r="H236" s="2"/>
      <x:c r="I236" s="2"/>
      <x:c r="J236" s="2"/>
      <x:c r="K236" s="2"/>
    </x:row>
    <x:row r="237">
      <x:c r="A237" s="2"/>
      <x:c r="B237" s="2"/>
      <x:c r="C237" s="2"/>
      <x:c r="D237" s="2"/>
      <x:c r="E237" s="2"/>
      <x:c r="F237" s="2"/>
      <x:c r="G237" s="2"/>
      <x:c r="H237" s="2"/>
      <x:c r="I237" s="2"/>
      <x:c r="J237" s="2"/>
      <x:c r="K237" s="2"/>
    </x:row>
    <x:row r="238">
      <x:c r="A238" s="2"/>
      <x:c r="B238" s="2"/>
      <x:c r="C238" s="2"/>
      <x:c r="D238" s="2"/>
      <x:c r="E238" s="2"/>
      <x:c r="F238" s="2"/>
      <x:c r="G238" s="2"/>
      <x:c r="H238" s="2"/>
      <x:c r="I238" s="2"/>
      <x:c r="J238" s="2"/>
      <x:c r="K238" s="2"/>
    </x:row>
    <x:row r="239">
      <x:c r="A239" s="2"/>
      <x:c r="B239" s="2"/>
      <x:c r="C239" s="2"/>
      <x:c r="D239" s="2"/>
      <x:c r="E239" s="2"/>
      <x:c r="F239" s="2"/>
      <x:c r="G239" s="2"/>
      <x:c r="H239" s="2"/>
      <x:c r="I239" s="2"/>
      <x:c r="J239" s="2"/>
      <x:c r="K239" s="2"/>
    </x:row>
    <x:row r="240">
      <x:c r="A240" s="2"/>
      <x:c r="B240" s="2"/>
      <x:c r="C240" s="2"/>
      <x:c r="D240" s="2"/>
      <x:c r="E240" s="2"/>
      <x:c r="F240" s="2"/>
      <x:c r="G240" s="2"/>
      <x:c r="H240" s="2"/>
      <x:c r="I240" s="2"/>
      <x:c r="J240" s="2"/>
      <x:c r="K240" s="2"/>
    </x:row>
    <x:row r="241">
      <x:c r="A241" s="2"/>
      <x:c r="B241" s="2"/>
      <x:c r="C241" s="2"/>
      <x:c r="D241" s="2"/>
      <x:c r="E241" s="2"/>
      <x:c r="F241" s="2"/>
      <x:c r="G241" s="2"/>
      <x:c r="H241" s="2"/>
      <x:c r="I241" s="2"/>
      <x:c r="J241" s="2"/>
      <x:c r="K241" s="2"/>
    </x:row>
    <x:row r="242">
      <x:c r="A242" s="2"/>
      <x:c r="B242" s="2"/>
      <x:c r="C242" s="2"/>
      <x:c r="D242" s="2"/>
      <x:c r="E242" s="2"/>
      <x:c r="F242" s="2"/>
      <x:c r="G242" s="2"/>
      <x:c r="H242" s="2"/>
      <x:c r="I242" s="2"/>
      <x:c r="J242" s="2"/>
      <x:c r="K242" s="2"/>
    </x:row>
    <x:row r="243">
      <x:c r="A243" s="2"/>
      <x:c r="B243" s="2"/>
      <x:c r="C243" s="2"/>
      <x:c r="D243" s="2"/>
      <x:c r="E243" s="2"/>
      <x:c r="F243" s="2"/>
      <x:c r="G243" s="2"/>
      <x:c r="H243" s="2"/>
      <x:c r="I243" s="2"/>
      <x:c r="J243" s="2"/>
      <x:c r="K243" s="2"/>
    </x:row>
    <x:row r="244">
      <x:c r="A244" s="2"/>
      <x:c r="B244" s="2"/>
      <x:c r="C244" s="2"/>
      <x:c r="D244" s="2"/>
      <x:c r="E244" s="2"/>
      <x:c r="F244" s="2"/>
      <x:c r="G244" s="2"/>
      <x:c r="H244" s="2"/>
      <x:c r="I244" s="2"/>
      <x:c r="J244" s="2"/>
      <x:c r="K244" s="2"/>
    </x:row>
    <x:row r="245">
      <x:c r="A245" s="2"/>
      <x:c r="B245" s="2"/>
      <x:c r="C245" s="2"/>
      <x:c r="D245" s="2"/>
      <x:c r="E245" s="2"/>
      <x:c r="F245" s="2"/>
      <x:c r="G245" s="2"/>
      <x:c r="H245" s="2"/>
      <x:c r="I245" s="2"/>
      <x:c r="J245" s="2"/>
      <x:c r="K245" s="2"/>
    </x:row>
    <x:row r="246">
      <x:c r="A246" s="2"/>
      <x:c r="B246" s="2"/>
      <x:c r="C246" s="2"/>
      <x:c r="D246" s="2"/>
      <x:c r="E246" s="2"/>
      <x:c r="F246" s="2"/>
      <x:c r="G246" s="2"/>
      <x:c r="H246" s="2"/>
      <x:c r="I246" s="2"/>
      <x:c r="J246" s="2"/>
      <x:c r="K246" s="2"/>
    </x:row>
    <x:row r="247">
      <x:c r="A247" s="2"/>
      <x:c r="B247" s="2"/>
      <x:c r="C247" s="2"/>
      <x:c r="D247" s="2"/>
      <x:c r="E247" s="2"/>
      <x:c r="F247" s="2"/>
      <x:c r="G247" s="2"/>
      <x:c r="H247" s="2"/>
      <x:c r="I247" s="2"/>
      <x:c r="J247" s="2"/>
      <x:c r="K247" s="2"/>
    </x:row>
    <x:row r="248">
      <x:c r="A248" s="2"/>
      <x:c r="B248" s="2"/>
      <x:c r="C248" s="2"/>
      <x:c r="D248" s="2"/>
      <x:c r="E248" s="2"/>
      <x:c r="F248" s="2"/>
      <x:c r="G248" s="2"/>
      <x:c r="H248" s="2"/>
      <x:c r="I248" s="2"/>
      <x:c r="J248" s="2"/>
      <x:c r="K248" s="2"/>
    </x:row>
    <x:row r="249">
      <x:c r="A249" s="2"/>
      <x:c r="B249" s="2"/>
      <x:c r="C249" s="2"/>
      <x:c r="D249" s="2"/>
      <x:c r="E249" s="2"/>
      <x:c r="F249" s="2"/>
      <x:c r="G249" s="2"/>
      <x:c r="H249" s="2"/>
      <x:c r="I249" s="2"/>
      <x:c r="J249" s="2"/>
      <x:c r="K249" s="2"/>
    </x:row>
    <x:row r="250">
      <x:c r="A250" s="2"/>
      <x:c r="B250" s="2"/>
      <x:c r="C250" s="2"/>
      <x:c r="D250" s="2"/>
      <x:c r="E250" s="2"/>
      <x:c r="F250" s="2"/>
      <x:c r="G250" s="2"/>
      <x:c r="H250" s="2"/>
      <x:c r="I250" s="2"/>
      <x:c r="J250" s="2"/>
      <x:c r="K250" s="2"/>
    </x:row>
    <x:row r="251">
      <x:c r="A251" s="2"/>
      <x:c r="B251" s="2"/>
      <x:c r="C251" s="2"/>
      <x:c r="D251" s="2"/>
      <x:c r="E251" s="2"/>
      <x:c r="F251" s="2"/>
      <x:c r="G251" s="2"/>
      <x:c r="H251" s="2"/>
      <x:c r="I251" s="2"/>
      <x:c r="J251" s="2"/>
      <x:c r="K251" s="2"/>
    </x:row>
    <x:row r="252">
      <x:c r="A252" s="2"/>
      <x:c r="B252" s="2"/>
      <x:c r="C252" s="2"/>
      <x:c r="D252" s="2"/>
      <x:c r="E252" s="2"/>
      <x:c r="F252" s="2"/>
      <x:c r="G252" s="2"/>
      <x:c r="H252" s="2"/>
      <x:c r="I252" s="2"/>
      <x:c r="J252" s="2"/>
      <x:c r="K252" s="2"/>
    </x:row>
    <x:row r="253">
      <x:c r="A253" s="2"/>
      <x:c r="B253" s="2"/>
      <x:c r="C253" s="2"/>
      <x:c r="D253" s="2"/>
      <x:c r="E253" s="2"/>
      <x:c r="F253" s="2"/>
      <x:c r="G253" s="2"/>
      <x:c r="H253" s="2"/>
      <x:c r="I253" s="2"/>
      <x:c r="J253" s="2"/>
      <x:c r="K253" s="2"/>
    </x:row>
    <x:row r="254">
      <x:c r="A254" s="2"/>
      <x:c r="B254" s="2"/>
      <x:c r="C254" s="2"/>
      <x:c r="D254" s="2"/>
      <x:c r="E254" s="2"/>
      <x:c r="F254" s="2"/>
      <x:c r="G254" s="2"/>
      <x:c r="H254" s="2"/>
      <x:c r="I254" s="2"/>
      <x:c r="J254" s="2"/>
      <x:c r="K254" s="2"/>
    </x:row>
    <x:row r="255">
      <x:c r="A255" s="2"/>
      <x:c r="B255" s="2"/>
      <x:c r="C255" s="2"/>
      <x:c r="D255" s="2"/>
      <x:c r="E255" s="2"/>
      <x:c r="F255" s="2"/>
      <x:c r="G255" s="2"/>
      <x:c r="H255" s="2"/>
      <x:c r="I255" s="2"/>
      <x:c r="J255" s="2"/>
      <x:c r="K255" s="2"/>
    </x:row>
    <x:row r="256">
      <x:c r="A256" s="2"/>
      <x:c r="B256" s="2"/>
      <x:c r="C256" s="2"/>
      <x:c r="D256" s="2"/>
      <x:c r="E256" s="2"/>
      <x:c r="F256" s="2"/>
      <x:c r="G256" s="2"/>
      <x:c r="H256" s="2"/>
      <x:c r="I256" s="2"/>
      <x:c r="J256" s="2"/>
      <x:c r="K256" s="2"/>
    </x:row>
    <x:row r="257">
      <x:c r="A257" s="2"/>
      <x:c r="B257" s="2"/>
      <x:c r="C257" s="2"/>
      <x:c r="D257" s="2"/>
      <x:c r="E257" s="2"/>
      <x:c r="F257" s="2"/>
      <x:c r="G257" s="2"/>
      <x:c r="H257" s="2"/>
      <x:c r="I257" s="2"/>
      <x:c r="J257" s="2"/>
      <x:c r="K257" s="2"/>
    </x:row>
    <x:row r="258">
      <x:c r="A258" s="2"/>
      <x:c r="B258" s="2"/>
      <x:c r="C258" s="2"/>
      <x:c r="D258" s="2"/>
      <x:c r="E258" s="2"/>
      <x:c r="F258" s="2"/>
      <x:c r="G258" s="2"/>
      <x:c r="H258" s="2"/>
      <x:c r="I258" s="2"/>
      <x:c r="J258" s="2"/>
      <x:c r="K258" s="2"/>
    </x:row>
    <x:row r="259">
      <x:c r="A259" s="2"/>
      <x:c r="B259" s="2"/>
      <x:c r="C259" s="2"/>
      <x:c r="D259" s="2"/>
      <x:c r="E259" s="2"/>
      <x:c r="F259" s="2"/>
      <x:c r="G259" s="2"/>
      <x:c r="H259" s="2"/>
      <x:c r="I259" s="2"/>
      <x:c r="J259" s="2"/>
      <x:c r="K259" s="2"/>
    </x:row>
    <x:row r="260">
      <x:c r="A260" s="2"/>
      <x:c r="B260" s="2"/>
      <x:c r="C260" s="2"/>
      <x:c r="D260" s="2"/>
      <x:c r="E260" s="2"/>
      <x:c r="F260" s="2"/>
      <x:c r="G260" s="2"/>
      <x:c r="H260" s="2"/>
      <x:c r="I260" s="2"/>
      <x:c r="J260" s="2"/>
      <x:c r="K260" s="2"/>
    </x:row>
    <x:row r="261">
      <x:c r="A261" s="2"/>
      <x:c r="B261" s="2"/>
      <x:c r="C261" s="2"/>
      <x:c r="D261" s="2"/>
      <x:c r="E261" s="2"/>
      <x:c r="F261" s="2"/>
      <x:c r="G261" s="2"/>
      <x:c r="H261" s="2"/>
      <x:c r="I261" s="2"/>
      <x:c r="J261" s="2"/>
      <x:c r="K261" s="2"/>
    </x:row>
    <x:row r="262">
      <x:c r="A262" s="2"/>
      <x:c r="B262" s="2"/>
      <x:c r="C262" s="2"/>
      <x:c r="D262" s="2"/>
      <x:c r="E262" s="2"/>
      <x:c r="F262" s="2"/>
      <x:c r="G262" s="2"/>
      <x:c r="H262" s="2"/>
      <x:c r="I262" s="2"/>
      <x:c r="J262" s="2"/>
      <x:c r="K262" s="2"/>
    </x:row>
    <x:row r="263">
      <x:c r="A263" s="2"/>
      <x:c r="B263" s="2"/>
      <x:c r="C263" s="2"/>
      <x:c r="D263" s="2"/>
      <x:c r="E263" s="2"/>
      <x:c r="F263" s="2"/>
      <x:c r="G263" s="2"/>
      <x:c r="H263" s="2"/>
      <x:c r="I263" s="2"/>
      <x:c r="J263" s="2"/>
      <x:c r="K263" s="2"/>
    </x:row>
    <x:row r="264">
      <x:c r="A264" s="2"/>
      <x:c r="B264" s="2"/>
      <x:c r="C264" s="2"/>
      <x:c r="D264" s="2"/>
      <x:c r="E264" s="2"/>
      <x:c r="F264" s="2"/>
      <x:c r="G264" s="2"/>
      <x:c r="H264" s="2"/>
      <x:c r="I264" s="2"/>
      <x:c r="J264" s="2"/>
      <x:c r="K264" s="2"/>
    </x:row>
    <x:row r="265">
      <x:c r="A265" s="2"/>
      <x:c r="B265" s="2"/>
      <x:c r="C265" s="2"/>
      <x:c r="D265" s="2"/>
      <x:c r="E265" s="2"/>
      <x:c r="F265" s="2"/>
      <x:c r="G265" s="2"/>
      <x:c r="H265" s="2"/>
      <x:c r="I265" s="2"/>
      <x:c r="J265" s="2"/>
      <x:c r="K265" s="2"/>
    </x:row>
    <x:row r="266">
      <x:c r="A266" s="2"/>
      <x:c r="B266" s="2"/>
      <x:c r="C266" s="2"/>
      <x:c r="D266" s="2"/>
      <x:c r="E266" s="2"/>
      <x:c r="F266" s="2"/>
      <x:c r="G266" s="2"/>
      <x:c r="H266" s="2"/>
      <x:c r="I266" s="2"/>
      <x:c r="J266" s="2"/>
      <x:c r="K266" s="2"/>
    </x:row>
    <x:row r="267">
      <x:c r="A267" s="2"/>
      <x:c r="B267" s="2"/>
      <x:c r="C267" s="2"/>
      <x:c r="D267" s="2"/>
      <x:c r="E267" s="2"/>
      <x:c r="F267" s="2"/>
      <x:c r="G267" s="2"/>
      <x:c r="H267" s="2"/>
      <x:c r="I267" s="2"/>
      <x:c r="J267" s="2"/>
      <x:c r="K267" s="2"/>
    </x:row>
    <x:row r="268">
      <x:c r="A268" s="2"/>
      <x:c r="B268" s="2"/>
      <x:c r="C268" s="2"/>
      <x:c r="D268" s="2"/>
      <x:c r="E268" s="2"/>
      <x:c r="F268" s="2"/>
      <x:c r="G268" s="2"/>
      <x:c r="H268" s="2"/>
      <x:c r="I268" s="2"/>
      <x:c r="J268" s="2"/>
      <x:c r="K268" s="2"/>
    </x:row>
    <x:row r="269">
      <x:c r="A269" s="2"/>
      <x:c r="B269" s="2"/>
      <x:c r="C269" s="2"/>
      <x:c r="D269" s="2"/>
      <x:c r="E269" s="2"/>
      <x:c r="F269" s="2"/>
      <x:c r="G269" s="2"/>
      <x:c r="H269" s="2"/>
      <x:c r="I269" s="2"/>
      <x:c r="J269" s="2"/>
      <x:c r="K269" s="2"/>
    </x:row>
    <x:row r="270">
      <x:c r="A270" s="2"/>
      <x:c r="B270" s="2"/>
      <x:c r="C270" s="2"/>
      <x:c r="D270" s="2"/>
      <x:c r="E270" s="2"/>
      <x:c r="F270" s="2"/>
      <x:c r="G270" s="2"/>
      <x:c r="H270" s="2"/>
      <x:c r="I270" s="2"/>
      <x:c r="J270" s="2"/>
      <x:c r="K270" s="2"/>
    </x:row>
    <x:row r="271">
      <x:c r="A271" s="2"/>
      <x:c r="B271" s="2"/>
      <x:c r="C271" s="2"/>
      <x:c r="D271" s="2"/>
      <x:c r="E271" s="2"/>
      <x:c r="F271" s="2"/>
      <x:c r="G271" s="2"/>
      <x:c r="H271" s="2"/>
      <x:c r="I271" s="2"/>
      <x:c r="J271" s="2"/>
      <x:c r="K271" s="2"/>
    </x:row>
    <x:row r="272">
      <x:c r="A272" s="2"/>
      <x:c r="B272" s="2"/>
      <x:c r="C272" s="2"/>
      <x:c r="D272" s="2"/>
      <x:c r="E272" s="2"/>
      <x:c r="F272" s="2"/>
      <x:c r="G272" s="2"/>
      <x:c r="H272" s="2"/>
      <x:c r="I272" s="2"/>
      <x:c r="J272" s="2"/>
      <x:c r="K272" s="2"/>
    </x:row>
    <x:row r="273">
      <x:c r="A273" s="2"/>
      <x:c r="B273" s="2"/>
      <x:c r="C273" s="2"/>
      <x:c r="D273" s="2"/>
      <x:c r="E273" s="2"/>
      <x:c r="F273" s="2"/>
      <x:c r="G273" s="2"/>
      <x:c r="H273" s="2"/>
      <x:c r="I273" s="2"/>
      <x:c r="J273" s="2"/>
      <x:c r="K273" s="2"/>
    </x:row>
    <x:row r="274">
      <x:c r="A274" s="2"/>
      <x:c r="B274" s="2"/>
      <x:c r="C274" s="2"/>
      <x:c r="D274" s="2"/>
      <x:c r="E274" s="2"/>
      <x:c r="F274" s="2"/>
      <x:c r="G274" s="2"/>
      <x:c r="H274" s="2"/>
      <x:c r="I274" s="2"/>
      <x:c r="J274" s="2"/>
      <x:c r="K274" s="2"/>
    </x:row>
    <x:row r="275">
      <x:c r="A275" s="2"/>
      <x:c r="B275" s="2"/>
      <x:c r="C275" s="2"/>
      <x:c r="D275" s="2"/>
      <x:c r="E275" s="2"/>
      <x:c r="F275" s="2"/>
      <x:c r="G275" s="2"/>
      <x:c r="H275" s="2"/>
      <x:c r="I275" s="2"/>
      <x:c r="J275" s="2"/>
      <x:c r="K275" s="2"/>
    </x:row>
    <x:row r="276">
      <x:c r="A276" s="2"/>
      <x:c r="B276" s="2"/>
      <x:c r="C276" s="2"/>
      <x:c r="D276" s="2"/>
      <x:c r="E276" s="2"/>
      <x:c r="F276" s="2"/>
      <x:c r="G276" s="2"/>
      <x:c r="H276" s="2"/>
      <x:c r="I276" s="2"/>
      <x:c r="J276" s="2"/>
      <x:c r="K276" s="2"/>
    </x:row>
    <x:row r="277">
      <x:c r="A277" s="2"/>
      <x:c r="B277" s="2"/>
      <x:c r="C277" s="2"/>
      <x:c r="D277" s="2"/>
      <x:c r="E277" s="2"/>
      <x:c r="F277" s="2"/>
      <x:c r="G277" s="2"/>
      <x:c r="H277" s="2"/>
      <x:c r="I277" s="2"/>
      <x:c r="J277" s="2"/>
      <x:c r="K277" s="2"/>
    </x:row>
    <x:row r="278">
      <x:c r="A278" s="2"/>
      <x:c r="B278" s="2"/>
      <x:c r="C278" s="2"/>
      <x:c r="D278" s="2"/>
      <x:c r="E278" s="2"/>
      <x:c r="F278" s="2"/>
      <x:c r="G278" s="2"/>
      <x:c r="H278" s="2"/>
      <x:c r="I278" s="2"/>
      <x:c r="J278" s="2"/>
      <x:c r="K278" s="2"/>
    </x:row>
    <x:row r="279">
      <x:c r="A279" s="2"/>
      <x:c r="B279" s="2"/>
      <x:c r="C279" s="2"/>
      <x:c r="D279" s="2"/>
      <x:c r="E279" s="2"/>
      <x:c r="F279" s="2"/>
      <x:c r="G279" s="2"/>
      <x:c r="H279" s="2"/>
      <x:c r="I279" s="2"/>
      <x:c r="J279" s="2"/>
      <x:c r="K279" s="2"/>
    </x:row>
    <x:row r="280">
      <x:c r="A280" s="2"/>
      <x:c r="B280" s="2"/>
      <x:c r="C280" s="2"/>
      <x:c r="D280" s="2"/>
      <x:c r="E280" s="2"/>
      <x:c r="F280" s="2"/>
      <x:c r="G280" s="2"/>
      <x:c r="H280" s="2"/>
      <x:c r="I280" s="2"/>
      <x:c r="J280" s="2"/>
      <x:c r="K280" s="2"/>
    </x:row>
    <x:row r="281">
      <x:c r="A281" s="2"/>
      <x:c r="B281" s="2"/>
      <x:c r="C281" s="2"/>
      <x:c r="D281" s="2"/>
      <x:c r="E281" s="2"/>
      <x:c r="F281" s="2"/>
      <x:c r="G281" s="2"/>
      <x:c r="H281" s="2"/>
      <x:c r="I281" s="2"/>
      <x:c r="J281" s="2"/>
      <x:c r="K281" s="2"/>
    </x:row>
    <x:row r="282">
      <x:c r="A282" s="2"/>
      <x:c r="B282" s="2"/>
      <x:c r="C282" s="2"/>
      <x:c r="D282" s="2"/>
      <x:c r="E282" s="2"/>
      <x:c r="F282" s="2"/>
      <x:c r="G282" s="2"/>
      <x:c r="H282" s="2"/>
      <x:c r="I282" s="2"/>
      <x:c r="J282" s="2"/>
      <x:c r="K282" s="2"/>
    </x:row>
    <x:row r="283">
      <x:c r="A283" s="2"/>
      <x:c r="B283" s="2"/>
      <x:c r="C283" s="2"/>
      <x:c r="D283" s="2"/>
      <x:c r="E283" s="2"/>
      <x:c r="F283" s="2"/>
      <x:c r="G283" s="2"/>
      <x:c r="H283" s="2"/>
      <x:c r="I283" s="2"/>
      <x:c r="J283" s="2"/>
      <x:c r="K283" s="2"/>
    </x:row>
    <x:row r="284">
      <x:c r="A284" s="2"/>
      <x:c r="B284" s="2"/>
      <x:c r="C284" s="2"/>
      <x:c r="D284" s="2"/>
      <x:c r="E284" s="2"/>
      <x:c r="F284" s="2"/>
      <x:c r="G284" s="2"/>
      <x:c r="H284" s="2"/>
      <x:c r="I284" s="2"/>
      <x:c r="J284" s="2"/>
      <x:c r="K284" s="2"/>
    </x:row>
    <x:row r="285">
      <x:c r="A285" s="2"/>
      <x:c r="B285" s="2"/>
      <x:c r="C285" s="2"/>
      <x:c r="D285" s="2"/>
      <x:c r="E285" s="2"/>
      <x:c r="F285" s="2"/>
      <x:c r="G285" s="2"/>
      <x:c r="H285" s="2"/>
      <x:c r="I285" s="2"/>
      <x:c r="J285" s="2"/>
      <x:c r="K285" s="2"/>
    </x:row>
    <x:row r="286">
      <x:c r="A286" s="2"/>
      <x:c r="B286" s="2"/>
      <x:c r="C286" s="2"/>
      <x:c r="D286" s="2"/>
      <x:c r="E286" s="2"/>
      <x:c r="F286" s="2"/>
      <x:c r="G286" s="2"/>
      <x:c r="H286" s="2"/>
      <x:c r="I286" s="2"/>
      <x:c r="J286" s="2"/>
      <x:c r="K286" s="2"/>
    </x:row>
    <x:row r="287">
      <x:c r="A287" s="2"/>
      <x:c r="B287" s="2"/>
      <x:c r="C287" s="2"/>
      <x:c r="D287" s="2"/>
      <x:c r="E287" s="2"/>
      <x:c r="F287" s="2"/>
      <x:c r="G287" s="2"/>
      <x:c r="H287" s="2"/>
      <x:c r="I287" s="2"/>
      <x:c r="J287" s="2"/>
      <x:c r="K287" s="2"/>
    </x:row>
    <x:row r="288">
      <x:c r="A288" s="2"/>
      <x:c r="B288" s="2"/>
      <x:c r="C288" s="2"/>
      <x:c r="D288" s="2"/>
      <x:c r="E288" s="2"/>
      <x:c r="F288" s="2"/>
      <x:c r="G288" s="2"/>
      <x:c r="H288" s="2"/>
      <x:c r="I288" s="2"/>
      <x:c r="J288" s="2"/>
      <x:c r="K288" s="2"/>
    </x:row>
    <x:row r="289">
      <x:c r="A289" s="2"/>
      <x:c r="B289" s="2"/>
      <x:c r="C289" s="2"/>
      <x:c r="D289" s="2"/>
      <x:c r="E289" s="2"/>
      <x:c r="F289" s="2"/>
      <x:c r="G289" s="2"/>
      <x:c r="H289" s="2"/>
      <x:c r="I289" s="2"/>
      <x:c r="J289" s="2"/>
      <x:c r="K289" s="2"/>
    </x:row>
    <x:row r="290">
      <x:c r="A290" s="2"/>
      <x:c r="B290" s="2"/>
      <x:c r="C290" s="2"/>
      <x:c r="D290" s="2"/>
      <x:c r="E290" s="2"/>
      <x:c r="F290" s="2"/>
      <x:c r="G290" s="2"/>
      <x:c r="H290" s="2"/>
      <x:c r="I290" s="2"/>
      <x:c r="J290" s="2"/>
      <x:c r="K290" s="2"/>
    </x:row>
    <x:row r="291">
      <x:c r="A291" s="2"/>
      <x:c r="B291" s="2"/>
      <x:c r="C291" s="2"/>
      <x:c r="D291" s="2"/>
      <x:c r="E291" s="2"/>
      <x:c r="F291" s="2"/>
      <x:c r="G291" s="2"/>
      <x:c r="H291" s="2"/>
      <x:c r="I291" s="2"/>
      <x:c r="J291" s="2"/>
      <x:c r="K291" s="2"/>
    </x:row>
    <x:row r="292">
      <x:c r="A292" s="2"/>
      <x:c r="B292" s="2"/>
      <x:c r="C292" s="2"/>
      <x:c r="D292" s="2"/>
      <x:c r="E292" s="2"/>
      <x:c r="F292" s="2"/>
      <x:c r="G292" s="2"/>
      <x:c r="H292" s="2"/>
      <x:c r="I292" s="2"/>
      <x:c r="J292" s="2"/>
      <x:c r="K292" s="2"/>
    </x:row>
    <x:row r="293">
      <x:c r="A293" s="2"/>
      <x:c r="B293" s="2"/>
      <x:c r="C293" s="2"/>
      <x:c r="D293" s="2"/>
      <x:c r="E293" s="2"/>
      <x:c r="F293" s="2"/>
      <x:c r="G293" s="2"/>
      <x:c r="H293" s="2"/>
      <x:c r="I293" s="2"/>
      <x:c r="J293" s="2"/>
      <x:c r="K293" s="2"/>
    </x:row>
    <x:row r="294">
      <x:c r="A294" s="2"/>
      <x:c r="B294" s="2"/>
      <x:c r="C294" s="2"/>
      <x:c r="D294" s="2"/>
      <x:c r="E294" s="2"/>
      <x:c r="F294" s="2"/>
      <x:c r="G294" s="2"/>
      <x:c r="H294" s="2"/>
      <x:c r="I294" s="2"/>
      <x:c r="J294" s="2"/>
      <x:c r="K294" s="2"/>
    </x:row>
    <x:row r="295">
      <x:c r="A295" s="2"/>
      <x:c r="B295" s="2"/>
      <x:c r="C295" s="2"/>
      <x:c r="D295" s="2"/>
      <x:c r="E295" s="2"/>
      <x:c r="F295" s="2"/>
      <x:c r="G295" s="2"/>
      <x:c r="H295" s="2"/>
      <x:c r="I295" s="2"/>
      <x:c r="J295" s="2"/>
      <x:c r="K295" s="2"/>
    </x:row>
    <x:row r="296">
      <x:c r="A296" s="2"/>
      <x:c r="B296" s="2"/>
      <x:c r="C296" s="2"/>
      <x:c r="D296" s="2"/>
      <x:c r="E296" s="2"/>
      <x:c r="F296" s="2"/>
      <x:c r="G296" s="2"/>
      <x:c r="H296" s="2"/>
      <x:c r="I296" s="2"/>
      <x:c r="J296" s="2"/>
      <x:c r="K296" s="2"/>
    </x:row>
    <x:row r="297">
      <x:c r="A297" s="2"/>
      <x:c r="B297" s="2"/>
      <x:c r="C297" s="2"/>
      <x:c r="D297" s="2"/>
      <x:c r="E297" s="2"/>
      <x:c r="F297" s="2"/>
      <x:c r="G297" s="2"/>
      <x:c r="H297" s="2"/>
      <x:c r="I297" s="2"/>
      <x:c r="J297" s="2"/>
      <x:c r="K297" s="2"/>
    </x:row>
    <x:row r="298">
      <x:c r="A298" s="2"/>
      <x:c r="B298" s="2"/>
      <x:c r="C298" s="2"/>
      <x:c r="D298" s="2"/>
      <x:c r="E298" s="2"/>
      <x:c r="F298" s="2"/>
      <x:c r="G298" s="2"/>
      <x:c r="H298" s="2"/>
      <x:c r="I298" s="2"/>
      <x:c r="J298" s="2"/>
      <x:c r="K298" s="2"/>
    </x:row>
    <x:row r="299">
      <x:c r="A299" s="2"/>
      <x:c r="B299" s="2"/>
      <x:c r="C299" s="2"/>
      <x:c r="D299" s="2"/>
      <x:c r="E299" s="2"/>
      <x:c r="F299" s="2"/>
      <x:c r="G299" s="2"/>
      <x:c r="H299" s="2"/>
      <x:c r="I299" s="2"/>
      <x:c r="J299" s="2"/>
      <x:c r="K299" s="2"/>
    </x:row>
    <x:row r="300">
      <x:c r="A300" s="2"/>
      <x:c r="B300" s="2"/>
      <x:c r="C300" s="2"/>
      <x:c r="D300" s="2"/>
      <x:c r="E300" s="2"/>
      <x:c r="F300" s="2"/>
      <x:c r="G300" s="2"/>
      <x:c r="H300" s="2"/>
      <x:c r="I300" s="2"/>
      <x:c r="J300" s="2"/>
      <x:c r="K300" s="2"/>
    </x:row>
  </x:sheetData>
  <x:mergeCells>
    <x:mergeCell ref="A1:K1"/>
    <x:mergeCell ref="A2:K2"/>
  </x:mergeCells>
  <x:pageMargins left="0.7" right="0.7" top="0.75" bottom="0.75" header="0.3" footer="0.3"/>
  <x:drawing xmlns:r="http://schemas.openxmlformats.org/officeDocument/2006/relationships" r:id="Rc05a99eb2a1e47d5"/>
</x:worksheet>
</file>

<file path=xl/worksheets/sheet5.xml><?xml version="1.0" encoding="utf-8"?>
<x:worksheet xmlns:x="http://schemas.openxmlformats.org/spreadsheetml/2006/main">
  <x:sheetFormatPr defaultRowHeight="15"/>
  <x:cols>
    <x:col min="1" max="1" width="16.670000076293945" hidden="0" customWidth="1"/>
    <x:col min="2" max="2" width="25.559999465942383" hidden="0" customWidth="1"/>
    <x:col min="3" max="3" width="10" hidden="0" customWidth="1"/>
    <x:col min="4" max="4" width="15.5600004196167" hidden="0" customWidth="1"/>
    <x:col min="5" max="5" width="10" hidden="0" customWidth="1"/>
    <x:col min="6" max="6" width="15.5600004196167" hidden="0" customWidth="1"/>
    <x:col min="7" max="7" width="11.670000076293945"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Splunk O11y Calculation Check</x:v>
      </x:c>
      <x:c r="B1" s="4" t="str">
        <x:v>Splunk O11y Calculation Check</x:v>
      </x:c>
      <x:c r="C1" s="4" t="str">
        <x:v>Splunk O11y Calculation Check</x:v>
      </x:c>
      <x:c r="D1" s="4" t="str">
        <x:v>Splunk O11y Calculation Check</x:v>
      </x:c>
      <x:c r="E1" s="4" t="str">
        <x:v>Splunk O11y Calculation Check</x:v>
      </x:c>
      <x:c r="F1" s="4" t="str">
        <x:v>Splunk O11y Calculation Check</x:v>
      </x:c>
      <x:c r="G1" s="4" t="str">
        <x:v>Splunk O11y Calculation Check</x:v>
      </x:c>
      <x:c r="H1" s="4" t="str">
        <x:v>Splunk O11y Calculation Check</x:v>
      </x:c>
    </x:row>
    <x:row r="2">
      <x:c r="A2" s="6" t="str">
        <x:v>Official Splunk Observability Cloud docs confirm the workbook should size by metric time series (MTS) and datapoints per minute (DPM).</x:v>
      </x:c>
      <x:c r="B2" s="6" t="str">
        <x:v>Official Splunk Observability Cloud docs confirm the workbook should size by metric time series (MTS) and datapoints per minute (DPM).</x:v>
      </x:c>
      <x:c r="C2" s="6" t="str">
        <x:v>Official Splunk Observability Cloud docs confirm the workbook should size by metric time series (MTS) and datapoints per minute (DPM).</x:v>
      </x:c>
      <x:c r="D2" s="6" t="str">
        <x:v>Official Splunk Observability Cloud docs confirm the workbook should size by metric time series (MTS) and datapoints per minute (DPM).</x:v>
      </x:c>
      <x:c r="E2" s="6" t="str">
        <x:v>Official Splunk Observability Cloud docs confirm the workbook should size by metric time series (MTS) and datapoints per minute (DPM).</x:v>
      </x:c>
      <x:c r="F2" s="6" t="str">
        <x:v>Official Splunk Observability Cloud docs confirm the workbook should size by metric time series (MTS) and datapoints per minute (DPM).</x:v>
      </x:c>
      <x:c r="G2" s="6" t="str">
        <x:v>Official Splunk Observability Cloud docs confirm the workbook should size by metric time series (MTS) and datapoints per minute (DPM).</x:v>
      </x:c>
      <x:c r="H2" s="6" t="str">
        <x:v>Official Splunk Observability Cloud docs confirm the workbook should size by metric time series (MTS) and datapoints per minute (DPM).</x:v>
      </x:c>
    </x:row>
    <x:row r="3">
      <x:c r="A3" s="2"/>
      <x:c r="B3" s="2"/>
      <x:c r="C3" s="2"/>
      <x:c r="D3" s="2"/>
      <x:c r="E3" s="2"/>
      <x:c r="F3" s="2"/>
      <x:c r="G3" s="2"/>
      <x:c r="H3" s="2"/>
    </x:row>
    <x:row r="4">
      <x:c r="A4" s="2"/>
      <x:c r="B4" s="2"/>
      <x:c r="C4" s="2"/>
      <x:c r="D4" s="2"/>
      <x:c r="E4" s="2"/>
      <x:c r="F4" s="2"/>
      <x:c r="G4" s="2"/>
      <x:c r="H4" s="2"/>
    </x:row>
    <x:row r="5">
      <x:c r="A5" s="9" t="str">
        <x:v>Workbook item</x:v>
      </x:c>
      <x:c r="B5" s="9" t="str">
        <x:v>Splunk O11y basis</x:v>
      </x:c>
      <x:c r="C5" s="9" t="str">
        <x:v>Workbook calculation</x:v>
      </x:c>
      <x:c r="D5" s="9" t="str">
        <x:v>Status</x:v>
      </x:c>
      <x:c r="E5" s="2"/>
      <x:c r="F5" s="2"/>
      <x:c r="G5" s="2"/>
      <x:c r="H5" s="2"/>
    </x:row>
    <x:row r="6">
      <x:c r="A6" s="2" t="str">
        <x:v>Active MTS</x:v>
      </x:c>
      <x:c r="B6" s="2" t="str">
        <x:v>An MTS is identified by metric name, metric type, and dimensions.</x:v>
      </x:c>
      <x:c r="C6" s="2" t="str">
        <x:v>Enabled x Count A x Count B x MTS per A x B</x:v>
      </x:c>
      <x:c r="D6" s="2" t="str">
        <x:v>Aligned</x:v>
      </x:c>
      <x:c r="E6" s="2"/>
      <x:c r="F6" s="2"/>
      <x:c r="G6" s="2"/>
      <x:c r="H6" s="2"/>
    </x:row>
    <x:row r="7">
      <x:c r="A7" s="2" t="str">
        <x:v>Dimensions</x:v>
      </x:c>
      <x:c r="B7" s="2" t="str">
        <x:v>Dimensions are sent at ingest and identify MTS with the metric name. OpenTelemetry attributes map to this concept.</x:v>
      </x:c>
      <x:c r="C7" s="2" t="str">
        <x:v>Resource and datapoint attributes are treated as MTS-expanding dimensions.</x:v>
      </x:c>
      <x:c r="D7" s="2" t="str">
        <x:v>Aligned</x:v>
      </x:c>
      <x:c r="E7" s="2"/>
      <x:c r="F7" s="2"/>
      <x:c r="G7" s="2"/>
      <x:c r="H7" s="2"/>
    </x:row>
    <x:row r="8">
      <x:c r="A8" s="2" t="str">
        <x:v>DPM</x:v>
      </x:c>
      <x:c r="B8" s="2" t="str">
        <x:v>Splunk DPM plans are based on datapoints sent per minute.</x:v>
      </x:c>
      <x:c r="C8" s="2" t="str">
        <x:v>Active MTS x 60 / collection interval seconds</x:v>
      </x:c>
      <x:c r="D8" s="2" t="str">
        <x:v>Aligned</x:v>
      </x:c>
      <x:c r="E8" s="2"/>
      <x:c r="F8" s="2"/>
      <x:c r="G8" s="2"/>
      <x:c r="H8" s="2"/>
    </x:row>
    <x:row r="9">
      <x:c r="A9" s="2" t="str">
        <x:v>Daily and monthly datapoints</x:v>
      </x:c>
      <x:c r="B9" s="2" t="str">
        <x:v>DPM is a rate; period totals are rate multiplied by elapsed minutes.</x:v>
      </x:c>
      <x:c r="C9" s="2" t="str">
        <x:v>DP/day = DPM x 60 x 24; DP/month = DP/day x days/month</x:v>
      </x:c>
      <x:c r="D9" s="2" t="str">
        <x:v>Aligned</x:v>
      </x:c>
      <x:c r="E9" s="2"/>
      <x:c r="F9" s="2"/>
      <x:c r="G9" s="2"/>
      <x:c r="H9" s="2"/>
    </x:row>
    <x:row r="10">
      <x:c r="A10" s="2" t="str">
        <x:v>Metric type multiplier</x:v>
      </x:c>
      <x:c r="B10" s="2" t="str">
        <x:v>The Cisco OS receiver rows here model gauges/sums as one datapoint per active MTS per collection interval.</x:v>
      </x:c>
      <x:c r="C10" s="2" t="str">
        <x:v>Multiplier = 1. If histogram metrics are added later, Splunk counts histogram datapoints as 8 MTS/DPM.</x:v>
      </x:c>
      <x:c r="D10" s="2" t="str">
        <x:v>Caveat</x:v>
      </x:c>
      <x:c r="E10" s="2"/>
      <x:c r="F10" s="2"/>
      <x:c r="G10" s="2"/>
      <x:c r="H10" s="2"/>
    </x:row>
    <x:row r="11">
      <x:c r="A11" s="2"/>
      <x:c r="B11" s="2"/>
      <x:c r="C11" s="2"/>
      <x:c r="D11" s="2"/>
      <x:c r="E11" s="2"/>
      <x:c r="F11" s="2"/>
      <x:c r="G11" s="2"/>
      <x:c r="H11" s="2"/>
    </x:row>
    <x:row r="12">
      <x:c r="A12" s="2"/>
      <x:c r="B12" s="2"/>
      <x:c r="C12" s="2"/>
      <x:c r="D12" s="2"/>
      <x:c r="E12" s="2"/>
      <x:c r="F12" s="2"/>
      <x:c r="G12" s="2"/>
      <x:c r="H12" s="2"/>
    </x:row>
    <x:row r="13">
      <x:c r="A13" s="9" t="str">
        <x:v>Caveat</x:v>
      </x:c>
      <x:c r="B13" s="9" t="str">
        <x:v>How to use it</x:v>
      </x:c>
      <x:c r="C13" s="2"/>
      <x:c r="D13" s="2"/>
      <x:c r="E13" s="2"/>
      <x:c r="F13" s="2"/>
      <x:c r="G13" s="2"/>
      <x:c r="H13" s="2"/>
    </x:row>
    <x:row r="14">
      <x:c r="A14" s="2" t="str">
        <x:v>Stable dimensions</x:v>
      </x:c>
      <x:c r="B14" s="2" t="str">
        <x:v>Active MTS per scrape approximates Splunk MTS when metric names, metric types, and dimension sets remain stable during the billing window.</x:v>
      </x:c>
      <x:c r="C14" s="2"/>
      <x:c r="D14" s="2"/>
      <x:c r="E14" s="2"/>
      <x:c r="F14" s="2"/>
      <x:c r="G14" s="2"/>
      <x:c r="H14" s="2"/>
    </x:row>
    <x:row r="15">
      <x:c r="A15" s="2" t="str">
        <x:v>Intermittent metrics</x:v>
      </x:c>
      <x:c r="B15" s="2" t="str">
        <x:v>Event-like or error metrics may appear only during incidents. Use pilot data because billing and usage views can reflect MTS seen during the measurement period.</x:v>
      </x:c>
      <x:c r="C15" s="2"/>
      <x:c r="D15" s="2"/>
      <x:c r="E15" s="2"/>
      <x:c r="F15" s="2"/>
      <x:c r="G15" s="2"/>
      <x:c r="H15" s="2"/>
    </x:row>
    <x:row r="16">
      <x:c r="A16" s="2" t="str">
        <x:v>High-cardinality values</x:v>
      </x:c>
      <x:c r="B16" s="2" t="str">
        <x:v>Interface names, counter names, neighbor addresses, queues/classes/drop reasons, Meraki serial/network values, Intersight object attributes, WLC clients/BSSIDs, SD-WAN flows, FMC events, ISE endpoints, and IOS XR route/flow rows drive MTS growth.</x:v>
      </x:c>
      <x:c r="C16" s="2"/>
      <x:c r="D16" s="2"/>
      <x:c r="E16" s="2"/>
      <x:c r="F16" s="2"/>
      <x:c r="G16" s="2"/>
      <x:c r="H16" s="2"/>
    </x:row>
    <x:row r="17">
      <x:c r="A17" s="2" t="str">
        <x:v>Collection interval</x:v>
      </x:c>
      <x:c r="B17" s="2" t="str">
        <x:v>Faster collection intervals increase DPM. Standard-resolution rollups affect retained/query resolution, not the datapoints sent into Splunk.</x:v>
      </x:c>
      <x:c r="C17" s="2"/>
      <x:c r="D17" s="2"/>
      <x:c r="E17" s="2"/>
      <x:c r="F17" s="2"/>
      <x:c r="G17" s="2"/>
      <x:c r="H17" s="2"/>
    </x:row>
    <x:row r="18">
      <x:c r="A18" s="2" t="str">
        <x:v>Validation path</x:v>
      </x:c>
      <x:c r="B18" s="2" t="str">
        <x:v>After a pilot, compare this estimate with Splunk Subscription Overview and Usage Analytics, then update the yellow assumptions.</x:v>
      </x:c>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9" t="str">
        <x:v>Official source</x:v>
      </x:c>
      <x:c r="B21" s="9" t="str">
        <x:v>URL</x:v>
      </x:c>
      <x:c r="C21" s="9" t="str">
        <x:v>How it affects this workbook</x:v>
      </x:c>
      <x:c r="D21" s="2"/>
      <x:c r="E21" s="2"/>
      <x:c r="F21" s="2"/>
      <x:c r="G21" s="2"/>
      <x:c r="H21" s="2"/>
    </x:row>
    <x:row r="22">
      <x:c r="A22" s="2" t="str">
        <x:v>Metrics, data points, and MTS</x:v>
      </x:c>
      <x:c r="B22" s="2" t="str">
        <x:v>https://help.splunk.com/en?resourceId=metrics-and-metadata_metrics</x:v>
      </x:c>
      <x:c r="C22" s="2" t="str">
        <x:v>Splunk defines an MTS as data points with the same metric name, metric type, and set of dimensions.</x:v>
      </x:c>
      <x:c r="D22" s="2"/>
      <x:c r="E22" s="2"/>
      <x:c r="F22" s="2"/>
      <x:c r="G22" s="2"/>
      <x:c r="H22" s="2"/>
    </x:row>
    <x:row r="23">
      <x:c r="A23" s="2" t="str">
        <x:v>Dimensions and MTS identity</x:v>
      </x:c>
      <x:c r="B23" s="2" t="str">
        <x:v>https://help.splunk.com/en/splunk-observability-cloud/manage-data/metrics-metadata-and-events/metrics-in-splunk-observability-cloud/metadata-dimensions-properties-tags-attributes</x:v>
      </x:c>
      <x:c r="C23" s="2" t="str">
        <x:v>Dimensions are sent at ingest; metric name plus dimensions uniquely identify an MTS. OpenTelemetry uses attributes for this concept.</x:v>
      </x:c>
      <x:c r="D23" s="2"/>
      <x:c r="E23" s="2"/>
      <x:c r="F23" s="2"/>
      <x:c r="G23" s="2"/>
      <x:c r="H23" s="2"/>
    </x:row>
    <x:row r="24">
      <x:c r="A24" s="2" t="str">
        <x:v>DPM subscription usage</x:v>
      </x:c>
      <x:c r="B24" s="2" t="str">
        <x:v>https://help.splunk.com/en?resourceId=admin_subscription-usage_dpm-usage</x:v>
      </x:c>
      <x:c r="C24" s="2" t="str">
        <x:v>DPM plans are based on the rate at which datapoints are sent. One host/metric combination every 10 seconds is 6 DPM.</x:v>
      </x:c>
      <x:c r="D24" s="2"/>
      <x:c r="E24" s="2"/>
      <x:c r="F24" s="2"/>
      <x:c r="G24" s="2"/>
      <x:c r="H24" s="2"/>
    </x:row>
    <x:row r="25">
      <x:c r="A25" s="2" t="str">
        <x:v>Host and metric subscription usage</x:v>
      </x:c>
      <x:c r="B25" s="2" t="str">
        <x:v>https://help.splunk.com/en/splunk-observability-cloud/administer/monitor-subscription-usage-and-billing/infrastructure-subscription-usage-host-and-metrics-plans</x:v>
      </x:c>
      <x:c r="C25" s="2" t="str">
        <x:v>MTS-based plans charge all MTS as custom; host-based plans treat custom MTS against entitlements. Histogram datapoints count as 8 MTS/DPM.</x:v>
      </x:c>
      <x:c r="D25" s="2"/>
      <x:c r="E25" s="2"/>
      <x:c r="F25" s="2"/>
      <x:c r="G25" s="2"/>
      <x:c r="H25" s="2"/>
    </x:row>
    <x:row r="26">
      <x:c r="A26" s="2" t="str">
        <x:v>Resolution and retention</x:v>
      </x:c>
      <x:c r="B26" s="2" t="str">
        <x:v>https://help.splunk.com/en/splunk-observability-cloud/monitor-infrastructure/resolution-and-data-retention</x:v>
      </x:c>
      <x:c r="C26" s="2" t="str">
        <x:v>Standard-resolution metrics arriving faster than 10 seconds are rolled up for effective native resolution, while DPM usage still reflects submitted datapoints.</x:v>
      </x:c>
      <x:c r="D26" s="2"/>
      <x:c r="E26" s="2"/>
      <x:c r="F26" s="2"/>
      <x:c r="G26" s="2"/>
      <x:c r="H26" s="2"/>
    </x:row>
    <x:row r="27">
      <x:c r="A27" s="2" t="str">
        <x:v>Usage Analytics</x:v>
      </x:c>
      <x:c r="B27" s="2" t="str">
        <x:v>https://help.splunk.com/en/splunk-observability-cloud/manage-data/metrics-metadata-and-events/metrics-events-and-metadata/usage-analytics-in-splunk-observability-cloud_1</x:v>
      </x:c>
      <x:c r="C27" s="2" t="str">
        <x:v>Usage Analytics helps find high-cardinality metrics and dimensions, but Splunk says Subscription Overview is the accurate billing source.</x:v>
      </x:c>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row r="201">
      <x:c r="A201" s="2"/>
      <x:c r="B201" s="2"/>
      <x:c r="C201" s="2"/>
      <x:c r="D201" s="2"/>
      <x:c r="E201" s="2"/>
      <x:c r="F201" s="2"/>
      <x:c r="G201" s="2"/>
      <x:c r="H201" s="2"/>
    </x:row>
    <x:row r="202">
      <x:c r="A202" s="2"/>
      <x:c r="B202" s="2"/>
      <x:c r="C202" s="2"/>
      <x:c r="D202" s="2"/>
      <x:c r="E202" s="2"/>
      <x:c r="F202" s="2"/>
      <x:c r="G202" s="2"/>
      <x:c r="H202" s="2"/>
    </x:row>
    <x:row r="203">
      <x:c r="A203" s="2"/>
      <x:c r="B203" s="2"/>
      <x:c r="C203" s="2"/>
      <x:c r="D203" s="2"/>
      <x:c r="E203" s="2"/>
      <x:c r="F203" s="2"/>
      <x:c r="G203" s="2"/>
      <x:c r="H203" s="2"/>
    </x:row>
    <x:row r="204">
      <x:c r="A204" s="2"/>
      <x:c r="B204" s="2"/>
      <x:c r="C204" s="2"/>
      <x:c r="D204" s="2"/>
      <x:c r="E204" s="2"/>
      <x:c r="F204" s="2"/>
      <x:c r="G204" s="2"/>
      <x:c r="H204" s="2"/>
    </x:row>
    <x:row r="205">
      <x:c r="A205" s="2"/>
      <x:c r="B205" s="2"/>
      <x:c r="C205" s="2"/>
      <x:c r="D205" s="2"/>
      <x:c r="E205" s="2"/>
      <x:c r="F205" s="2"/>
      <x:c r="G205" s="2"/>
      <x:c r="H205" s="2"/>
    </x:row>
    <x:row r="206">
      <x:c r="A206" s="2"/>
      <x:c r="B206" s="2"/>
      <x:c r="C206" s="2"/>
      <x:c r="D206" s="2"/>
      <x:c r="E206" s="2"/>
      <x:c r="F206" s="2"/>
      <x:c r="G206" s="2"/>
      <x:c r="H206" s="2"/>
    </x:row>
    <x:row r="207">
      <x:c r="A207" s="2"/>
      <x:c r="B207" s="2"/>
      <x:c r="C207" s="2"/>
      <x:c r="D207" s="2"/>
      <x:c r="E207" s="2"/>
      <x:c r="F207" s="2"/>
      <x:c r="G207" s="2"/>
      <x:c r="H207" s="2"/>
    </x:row>
    <x:row r="208">
      <x:c r="A208" s="2"/>
      <x:c r="B208" s="2"/>
      <x:c r="C208" s="2"/>
      <x:c r="D208" s="2"/>
      <x:c r="E208" s="2"/>
      <x:c r="F208" s="2"/>
      <x:c r="G208" s="2"/>
      <x:c r="H208" s="2"/>
    </x:row>
    <x:row r="209">
      <x:c r="A209" s="2"/>
      <x:c r="B209" s="2"/>
      <x:c r="C209" s="2"/>
      <x:c r="D209" s="2"/>
      <x:c r="E209" s="2"/>
      <x:c r="F209" s="2"/>
      <x:c r="G209" s="2"/>
      <x:c r="H209" s="2"/>
    </x:row>
    <x:row r="210">
      <x:c r="A210" s="2"/>
      <x:c r="B210" s="2"/>
      <x:c r="C210" s="2"/>
      <x:c r="D210" s="2"/>
      <x:c r="E210" s="2"/>
      <x:c r="F210" s="2"/>
      <x:c r="G210" s="2"/>
      <x:c r="H210" s="2"/>
    </x:row>
    <x:row r="211">
      <x:c r="A211" s="2"/>
      <x:c r="B211" s="2"/>
      <x:c r="C211" s="2"/>
      <x:c r="D211" s="2"/>
      <x:c r="E211" s="2"/>
      <x:c r="F211" s="2"/>
      <x:c r="G211" s="2"/>
      <x:c r="H211" s="2"/>
    </x:row>
    <x:row r="212">
      <x:c r="A212" s="2"/>
      <x:c r="B212" s="2"/>
      <x:c r="C212" s="2"/>
      <x:c r="D212" s="2"/>
      <x:c r="E212" s="2"/>
      <x:c r="F212" s="2"/>
      <x:c r="G212" s="2"/>
      <x:c r="H212" s="2"/>
    </x:row>
    <x:row r="213">
      <x:c r="A213" s="2"/>
      <x:c r="B213" s="2"/>
      <x:c r="C213" s="2"/>
      <x:c r="D213" s="2"/>
      <x:c r="E213" s="2"/>
      <x:c r="F213" s="2"/>
      <x:c r="G213" s="2"/>
      <x:c r="H213" s="2"/>
    </x:row>
    <x:row r="214">
      <x:c r="A214" s="2"/>
      <x:c r="B214" s="2"/>
      <x:c r="C214" s="2"/>
      <x:c r="D214" s="2"/>
      <x:c r="E214" s="2"/>
      <x:c r="F214" s="2"/>
      <x:c r="G214" s="2"/>
      <x:c r="H214" s="2"/>
    </x:row>
    <x:row r="215">
      <x:c r="A215" s="2"/>
      <x:c r="B215" s="2"/>
      <x:c r="C215" s="2"/>
      <x:c r="D215" s="2"/>
      <x:c r="E215" s="2"/>
      <x:c r="F215" s="2"/>
      <x:c r="G215" s="2"/>
      <x:c r="H215" s="2"/>
    </x:row>
    <x:row r="216">
      <x:c r="A216" s="2"/>
      <x:c r="B216" s="2"/>
      <x:c r="C216" s="2"/>
      <x:c r="D216" s="2"/>
      <x:c r="E216" s="2"/>
      <x:c r="F216" s="2"/>
      <x:c r="G216" s="2"/>
      <x:c r="H216" s="2"/>
    </x:row>
    <x:row r="217">
      <x:c r="A217" s="2"/>
      <x:c r="B217" s="2"/>
      <x:c r="C217" s="2"/>
      <x:c r="D217" s="2"/>
      <x:c r="E217" s="2"/>
      <x:c r="F217" s="2"/>
      <x:c r="G217" s="2"/>
      <x:c r="H217" s="2"/>
    </x:row>
    <x:row r="218">
      <x:c r="A218" s="2"/>
      <x:c r="B218" s="2"/>
      <x:c r="C218" s="2"/>
      <x:c r="D218" s="2"/>
      <x:c r="E218" s="2"/>
      <x:c r="F218" s="2"/>
      <x:c r="G218" s="2"/>
      <x:c r="H218" s="2"/>
    </x:row>
    <x:row r="219">
      <x:c r="A219" s="2"/>
      <x:c r="B219" s="2"/>
      <x:c r="C219" s="2"/>
      <x:c r="D219" s="2"/>
      <x:c r="E219" s="2"/>
      <x:c r="F219" s="2"/>
      <x:c r="G219" s="2"/>
      <x:c r="H219" s="2"/>
    </x:row>
    <x:row r="220">
      <x:c r="A220" s="2"/>
      <x:c r="B220" s="2"/>
      <x:c r="C220" s="2"/>
      <x:c r="D220" s="2"/>
      <x:c r="E220" s="2"/>
      <x:c r="F220" s="2"/>
      <x:c r="G220" s="2"/>
      <x:c r="H220" s="2"/>
    </x:row>
    <x:row r="221">
      <x:c r="A221" s="2"/>
      <x:c r="B221" s="2"/>
      <x:c r="C221" s="2"/>
      <x:c r="D221" s="2"/>
      <x:c r="E221" s="2"/>
      <x:c r="F221" s="2"/>
      <x:c r="G221" s="2"/>
      <x:c r="H221" s="2"/>
    </x:row>
    <x:row r="222">
      <x:c r="A222" s="2"/>
      <x:c r="B222" s="2"/>
      <x:c r="C222" s="2"/>
      <x:c r="D222" s="2"/>
      <x:c r="E222" s="2"/>
      <x:c r="F222" s="2"/>
      <x:c r="G222" s="2"/>
      <x:c r="H222" s="2"/>
    </x:row>
    <x:row r="223">
      <x:c r="A223" s="2"/>
      <x:c r="B223" s="2"/>
      <x:c r="C223" s="2"/>
      <x:c r="D223" s="2"/>
      <x:c r="E223" s="2"/>
      <x:c r="F223" s="2"/>
      <x:c r="G223" s="2"/>
      <x:c r="H223" s="2"/>
    </x:row>
    <x:row r="224">
      <x:c r="A224" s="2"/>
      <x:c r="B224" s="2"/>
      <x:c r="C224" s="2"/>
      <x:c r="D224" s="2"/>
      <x:c r="E224" s="2"/>
      <x:c r="F224" s="2"/>
      <x:c r="G224" s="2"/>
      <x:c r="H224" s="2"/>
    </x:row>
    <x:row r="225">
      <x:c r="A225" s="2"/>
      <x:c r="B225" s="2"/>
      <x:c r="C225" s="2"/>
      <x:c r="D225" s="2"/>
      <x:c r="E225" s="2"/>
      <x:c r="F225" s="2"/>
      <x:c r="G225" s="2"/>
      <x:c r="H225" s="2"/>
    </x:row>
    <x:row r="226">
      <x:c r="A226" s="2"/>
      <x:c r="B226" s="2"/>
      <x:c r="C226" s="2"/>
      <x:c r="D226" s="2"/>
      <x:c r="E226" s="2"/>
      <x:c r="F226" s="2"/>
      <x:c r="G226" s="2"/>
      <x:c r="H226" s="2"/>
    </x:row>
    <x:row r="227">
      <x:c r="A227" s="2"/>
      <x:c r="B227" s="2"/>
      <x:c r="C227" s="2"/>
      <x:c r="D227" s="2"/>
      <x:c r="E227" s="2"/>
      <x:c r="F227" s="2"/>
      <x:c r="G227" s="2"/>
      <x:c r="H227" s="2"/>
    </x:row>
    <x:row r="228">
      <x:c r="A228" s="2"/>
      <x:c r="B228" s="2"/>
      <x:c r="C228" s="2"/>
      <x:c r="D228" s="2"/>
      <x:c r="E228" s="2"/>
      <x:c r="F228" s="2"/>
      <x:c r="G228" s="2"/>
      <x:c r="H228" s="2"/>
    </x:row>
    <x:row r="229">
      <x:c r="A229" s="2"/>
      <x:c r="B229" s="2"/>
      <x:c r="C229" s="2"/>
      <x:c r="D229" s="2"/>
      <x:c r="E229" s="2"/>
      <x:c r="F229" s="2"/>
      <x:c r="G229" s="2"/>
      <x:c r="H229" s="2"/>
    </x:row>
    <x:row r="230">
      <x:c r="A230" s="2"/>
      <x:c r="B230" s="2"/>
      <x:c r="C230" s="2"/>
      <x:c r="D230" s="2"/>
      <x:c r="E230" s="2"/>
      <x:c r="F230" s="2"/>
      <x:c r="G230" s="2"/>
      <x:c r="H230" s="2"/>
    </x:row>
    <x:row r="231">
      <x:c r="A231" s="2"/>
      <x:c r="B231" s="2"/>
      <x:c r="C231" s="2"/>
      <x:c r="D231" s="2"/>
      <x:c r="E231" s="2"/>
      <x:c r="F231" s="2"/>
      <x:c r="G231" s="2"/>
      <x:c r="H231" s="2"/>
    </x:row>
    <x:row r="232">
      <x:c r="A232" s="2"/>
      <x:c r="B232" s="2"/>
      <x:c r="C232" s="2"/>
      <x:c r="D232" s="2"/>
      <x:c r="E232" s="2"/>
      <x:c r="F232" s="2"/>
      <x:c r="G232" s="2"/>
      <x:c r="H232" s="2"/>
    </x:row>
    <x:row r="233">
      <x:c r="A233" s="2"/>
      <x:c r="B233" s="2"/>
      <x:c r="C233" s="2"/>
      <x:c r="D233" s="2"/>
      <x:c r="E233" s="2"/>
      <x:c r="F233" s="2"/>
      <x:c r="G233" s="2"/>
      <x:c r="H233" s="2"/>
    </x:row>
    <x:row r="234">
      <x:c r="A234" s="2"/>
      <x:c r="B234" s="2"/>
      <x:c r="C234" s="2"/>
      <x:c r="D234" s="2"/>
      <x:c r="E234" s="2"/>
      <x:c r="F234" s="2"/>
      <x:c r="G234" s="2"/>
      <x:c r="H234" s="2"/>
    </x:row>
    <x:row r="235">
      <x:c r="A235" s="2"/>
      <x:c r="B235" s="2"/>
      <x:c r="C235" s="2"/>
      <x:c r="D235" s="2"/>
      <x:c r="E235" s="2"/>
      <x:c r="F235" s="2"/>
      <x:c r="G235" s="2"/>
      <x:c r="H235" s="2"/>
    </x:row>
    <x:row r="236">
      <x:c r="A236" s="2"/>
      <x:c r="B236" s="2"/>
      <x:c r="C236" s="2"/>
      <x:c r="D236" s="2"/>
      <x:c r="E236" s="2"/>
      <x:c r="F236" s="2"/>
      <x:c r="G236" s="2"/>
      <x:c r="H236" s="2"/>
    </x:row>
    <x:row r="237">
      <x:c r="A237" s="2"/>
      <x:c r="B237" s="2"/>
      <x:c r="C237" s="2"/>
      <x:c r="D237" s="2"/>
      <x:c r="E237" s="2"/>
      <x:c r="F237" s="2"/>
      <x:c r="G237" s="2"/>
      <x:c r="H237" s="2"/>
    </x:row>
    <x:row r="238">
      <x:c r="A238" s="2"/>
      <x:c r="B238" s="2"/>
      <x:c r="C238" s="2"/>
      <x:c r="D238" s="2"/>
      <x:c r="E238" s="2"/>
      <x:c r="F238" s="2"/>
      <x:c r="G238" s="2"/>
      <x:c r="H238" s="2"/>
    </x:row>
    <x:row r="239">
      <x:c r="A239" s="2"/>
      <x:c r="B239" s="2"/>
      <x:c r="C239" s="2"/>
      <x:c r="D239" s="2"/>
      <x:c r="E239" s="2"/>
      <x:c r="F239" s="2"/>
      <x:c r="G239" s="2"/>
      <x:c r="H239" s="2"/>
    </x:row>
    <x:row r="240">
      <x:c r="A240" s="2"/>
      <x:c r="B240" s="2"/>
      <x:c r="C240" s="2"/>
      <x:c r="D240" s="2"/>
      <x:c r="E240" s="2"/>
      <x:c r="F240" s="2"/>
      <x:c r="G240" s="2"/>
      <x:c r="H240" s="2"/>
    </x:row>
    <x:row r="241">
      <x:c r="A241" s="2"/>
      <x:c r="B241" s="2"/>
      <x:c r="C241" s="2"/>
      <x:c r="D241" s="2"/>
      <x:c r="E241" s="2"/>
      <x:c r="F241" s="2"/>
      <x:c r="G241" s="2"/>
      <x:c r="H241" s="2"/>
    </x:row>
    <x:row r="242">
      <x:c r="A242" s="2"/>
      <x:c r="B242" s="2"/>
      <x:c r="C242" s="2"/>
      <x:c r="D242" s="2"/>
      <x:c r="E242" s="2"/>
      <x:c r="F242" s="2"/>
      <x:c r="G242" s="2"/>
      <x:c r="H242" s="2"/>
    </x:row>
    <x:row r="243">
      <x:c r="A243" s="2"/>
      <x:c r="B243" s="2"/>
      <x:c r="C243" s="2"/>
      <x:c r="D243" s="2"/>
      <x:c r="E243" s="2"/>
      <x:c r="F243" s="2"/>
      <x:c r="G243" s="2"/>
      <x:c r="H243" s="2"/>
    </x:row>
    <x:row r="244">
      <x:c r="A244" s="2"/>
      <x:c r="B244" s="2"/>
      <x:c r="C244" s="2"/>
      <x:c r="D244" s="2"/>
      <x:c r="E244" s="2"/>
      <x:c r="F244" s="2"/>
      <x:c r="G244" s="2"/>
      <x:c r="H244" s="2"/>
    </x:row>
    <x:row r="245">
      <x:c r="A245" s="2"/>
      <x:c r="B245" s="2"/>
      <x:c r="C245" s="2"/>
      <x:c r="D245" s="2"/>
      <x:c r="E245" s="2"/>
      <x:c r="F245" s="2"/>
      <x:c r="G245" s="2"/>
      <x:c r="H245" s="2"/>
    </x:row>
    <x:row r="246">
      <x:c r="A246" s="2"/>
      <x:c r="B246" s="2"/>
      <x:c r="C246" s="2"/>
      <x:c r="D246" s="2"/>
      <x:c r="E246" s="2"/>
      <x:c r="F246" s="2"/>
      <x:c r="G246" s="2"/>
      <x:c r="H246" s="2"/>
    </x:row>
    <x:row r="247">
      <x:c r="A247" s="2"/>
      <x:c r="B247" s="2"/>
      <x:c r="C247" s="2"/>
      <x:c r="D247" s="2"/>
      <x:c r="E247" s="2"/>
      <x:c r="F247" s="2"/>
      <x:c r="G247" s="2"/>
      <x:c r="H247" s="2"/>
    </x:row>
    <x:row r="248">
      <x:c r="A248" s="2"/>
      <x:c r="B248" s="2"/>
      <x:c r="C248" s="2"/>
      <x:c r="D248" s="2"/>
      <x:c r="E248" s="2"/>
      <x:c r="F248" s="2"/>
      <x:c r="G248" s="2"/>
      <x:c r="H248" s="2"/>
    </x:row>
    <x:row r="249">
      <x:c r="A249" s="2"/>
      <x:c r="B249" s="2"/>
      <x:c r="C249" s="2"/>
      <x:c r="D249" s="2"/>
      <x:c r="E249" s="2"/>
      <x:c r="F249" s="2"/>
      <x:c r="G249" s="2"/>
      <x:c r="H249" s="2"/>
    </x:row>
    <x:row r="250">
      <x:c r="A250" s="2"/>
      <x:c r="B250" s="2"/>
      <x:c r="C250" s="2"/>
      <x:c r="D250" s="2"/>
      <x:c r="E250" s="2"/>
      <x:c r="F250" s="2"/>
      <x:c r="G250" s="2"/>
      <x:c r="H250" s="2"/>
    </x:row>
    <x:row r="251">
      <x:c r="A251" s="2"/>
      <x:c r="B251" s="2"/>
      <x:c r="C251" s="2"/>
      <x:c r="D251" s="2"/>
      <x:c r="E251" s="2"/>
      <x:c r="F251" s="2"/>
      <x:c r="G251" s="2"/>
      <x:c r="H251" s="2"/>
    </x:row>
    <x:row r="252">
      <x:c r="A252" s="2"/>
      <x:c r="B252" s="2"/>
      <x:c r="C252" s="2"/>
      <x:c r="D252" s="2"/>
      <x:c r="E252" s="2"/>
      <x:c r="F252" s="2"/>
      <x:c r="G252" s="2"/>
      <x:c r="H252" s="2"/>
    </x:row>
    <x:row r="253">
      <x:c r="A253" s="2"/>
      <x:c r="B253" s="2"/>
      <x:c r="C253" s="2"/>
      <x:c r="D253" s="2"/>
      <x:c r="E253" s="2"/>
      <x:c r="F253" s="2"/>
      <x:c r="G253" s="2"/>
      <x:c r="H253" s="2"/>
    </x:row>
    <x:row r="254">
      <x:c r="A254" s="2"/>
      <x:c r="B254" s="2"/>
      <x:c r="C254" s="2"/>
      <x:c r="D254" s="2"/>
      <x:c r="E254" s="2"/>
      <x:c r="F254" s="2"/>
      <x:c r="G254" s="2"/>
      <x:c r="H254" s="2"/>
    </x:row>
    <x:row r="255">
      <x:c r="A255" s="2"/>
      <x:c r="B255" s="2"/>
      <x:c r="C255" s="2"/>
      <x:c r="D255" s="2"/>
      <x:c r="E255" s="2"/>
      <x:c r="F255" s="2"/>
      <x:c r="G255" s="2"/>
      <x:c r="H255" s="2"/>
    </x:row>
    <x:row r="256">
      <x:c r="A256" s="2"/>
      <x:c r="B256" s="2"/>
      <x:c r="C256" s="2"/>
      <x:c r="D256" s="2"/>
      <x:c r="E256" s="2"/>
      <x:c r="F256" s="2"/>
      <x:c r="G256" s="2"/>
      <x:c r="H256" s="2"/>
    </x:row>
    <x:row r="257">
      <x:c r="A257" s="2"/>
      <x:c r="B257" s="2"/>
      <x:c r="C257" s="2"/>
      <x:c r="D257" s="2"/>
      <x:c r="E257" s="2"/>
      <x:c r="F257" s="2"/>
      <x:c r="G257" s="2"/>
      <x:c r="H257" s="2"/>
    </x:row>
    <x:row r="258">
      <x:c r="A258" s="2"/>
      <x:c r="B258" s="2"/>
      <x:c r="C258" s="2"/>
      <x:c r="D258" s="2"/>
      <x:c r="E258" s="2"/>
      <x:c r="F258" s="2"/>
      <x:c r="G258" s="2"/>
      <x:c r="H258" s="2"/>
    </x:row>
    <x:row r="259">
      <x:c r="A259" s="2"/>
      <x:c r="B259" s="2"/>
      <x:c r="C259" s="2"/>
      <x:c r="D259" s="2"/>
      <x:c r="E259" s="2"/>
      <x:c r="F259" s="2"/>
      <x:c r="G259" s="2"/>
      <x:c r="H259" s="2"/>
    </x:row>
    <x:row r="260">
      <x:c r="A260" s="2"/>
      <x:c r="B260" s="2"/>
      <x:c r="C260" s="2"/>
      <x:c r="D260" s="2"/>
      <x:c r="E260" s="2"/>
      <x:c r="F260" s="2"/>
      <x:c r="G260" s="2"/>
      <x:c r="H260" s="2"/>
    </x:row>
    <x:row r="261">
      <x:c r="A261" s="2"/>
      <x:c r="B261" s="2"/>
      <x:c r="C261" s="2"/>
      <x:c r="D261" s="2"/>
      <x:c r="E261" s="2"/>
      <x:c r="F261" s="2"/>
      <x:c r="G261" s="2"/>
      <x:c r="H261" s="2"/>
    </x:row>
    <x:row r="262">
      <x:c r="A262" s="2"/>
      <x:c r="B262" s="2"/>
      <x:c r="C262" s="2"/>
      <x:c r="D262" s="2"/>
      <x:c r="E262" s="2"/>
      <x:c r="F262" s="2"/>
      <x:c r="G262" s="2"/>
      <x:c r="H262" s="2"/>
    </x:row>
    <x:row r="263">
      <x:c r="A263" s="2"/>
      <x:c r="B263" s="2"/>
      <x:c r="C263" s="2"/>
      <x:c r="D263" s="2"/>
      <x:c r="E263" s="2"/>
      <x:c r="F263" s="2"/>
      <x:c r="G263" s="2"/>
      <x:c r="H263" s="2"/>
    </x:row>
    <x:row r="264">
      <x:c r="A264" s="2"/>
      <x:c r="B264" s="2"/>
      <x:c r="C264" s="2"/>
      <x:c r="D264" s="2"/>
      <x:c r="E264" s="2"/>
      <x:c r="F264" s="2"/>
      <x:c r="G264" s="2"/>
      <x:c r="H264" s="2"/>
    </x:row>
    <x:row r="265">
      <x:c r="A265" s="2"/>
      <x:c r="B265" s="2"/>
      <x:c r="C265" s="2"/>
      <x:c r="D265" s="2"/>
      <x:c r="E265" s="2"/>
      <x:c r="F265" s="2"/>
      <x:c r="G265" s="2"/>
      <x:c r="H265" s="2"/>
    </x:row>
    <x:row r="266">
      <x:c r="A266" s="2"/>
      <x:c r="B266" s="2"/>
      <x:c r="C266" s="2"/>
      <x:c r="D266" s="2"/>
      <x:c r="E266" s="2"/>
      <x:c r="F266" s="2"/>
      <x:c r="G266" s="2"/>
      <x:c r="H266" s="2"/>
    </x:row>
    <x:row r="267">
      <x:c r="A267" s="2"/>
      <x:c r="B267" s="2"/>
      <x:c r="C267" s="2"/>
      <x:c r="D267" s="2"/>
      <x:c r="E267" s="2"/>
      <x:c r="F267" s="2"/>
      <x:c r="G267" s="2"/>
      <x:c r="H267" s="2"/>
    </x:row>
    <x:row r="268">
      <x:c r="A268" s="2"/>
      <x:c r="B268" s="2"/>
      <x:c r="C268" s="2"/>
      <x:c r="D268" s="2"/>
      <x:c r="E268" s="2"/>
      <x:c r="F268" s="2"/>
      <x:c r="G268" s="2"/>
      <x:c r="H268" s="2"/>
    </x:row>
    <x:row r="269">
      <x:c r="A269" s="2"/>
      <x:c r="B269" s="2"/>
      <x:c r="C269" s="2"/>
      <x:c r="D269" s="2"/>
      <x:c r="E269" s="2"/>
      <x:c r="F269" s="2"/>
      <x:c r="G269" s="2"/>
      <x:c r="H269" s="2"/>
    </x:row>
    <x:row r="270">
      <x:c r="A270" s="2"/>
      <x:c r="B270" s="2"/>
      <x:c r="C270" s="2"/>
      <x:c r="D270" s="2"/>
      <x:c r="E270" s="2"/>
      <x:c r="F270" s="2"/>
      <x:c r="G270" s="2"/>
      <x:c r="H270" s="2"/>
    </x:row>
    <x:row r="271">
      <x:c r="A271" s="2"/>
      <x:c r="B271" s="2"/>
      <x:c r="C271" s="2"/>
      <x:c r="D271" s="2"/>
      <x:c r="E271" s="2"/>
      <x:c r="F271" s="2"/>
      <x:c r="G271" s="2"/>
      <x:c r="H271" s="2"/>
    </x:row>
    <x:row r="272">
      <x:c r="A272" s="2"/>
      <x:c r="B272" s="2"/>
      <x:c r="C272" s="2"/>
      <x:c r="D272" s="2"/>
      <x:c r="E272" s="2"/>
      <x:c r="F272" s="2"/>
      <x:c r="G272" s="2"/>
      <x:c r="H272" s="2"/>
    </x:row>
    <x:row r="273">
      <x:c r="A273" s="2"/>
      <x:c r="B273" s="2"/>
      <x:c r="C273" s="2"/>
      <x:c r="D273" s="2"/>
      <x:c r="E273" s="2"/>
      <x:c r="F273" s="2"/>
      <x:c r="G273" s="2"/>
      <x:c r="H273" s="2"/>
    </x:row>
    <x:row r="274">
      <x:c r="A274" s="2"/>
      <x:c r="B274" s="2"/>
      <x:c r="C274" s="2"/>
      <x:c r="D274" s="2"/>
      <x:c r="E274" s="2"/>
      <x:c r="F274" s="2"/>
      <x:c r="G274" s="2"/>
      <x:c r="H274" s="2"/>
    </x:row>
    <x:row r="275">
      <x:c r="A275" s="2"/>
      <x:c r="B275" s="2"/>
      <x:c r="C275" s="2"/>
      <x:c r="D275" s="2"/>
      <x:c r="E275" s="2"/>
      <x:c r="F275" s="2"/>
      <x:c r="G275" s="2"/>
      <x:c r="H275" s="2"/>
    </x:row>
    <x:row r="276">
      <x:c r="A276" s="2"/>
      <x:c r="B276" s="2"/>
      <x:c r="C276" s="2"/>
      <x:c r="D276" s="2"/>
      <x:c r="E276" s="2"/>
      <x:c r="F276" s="2"/>
      <x:c r="G276" s="2"/>
      <x:c r="H276" s="2"/>
    </x:row>
    <x:row r="277">
      <x:c r="A277" s="2"/>
      <x:c r="B277" s="2"/>
      <x:c r="C277" s="2"/>
      <x:c r="D277" s="2"/>
      <x:c r="E277" s="2"/>
      <x:c r="F277" s="2"/>
      <x:c r="G277" s="2"/>
      <x:c r="H277" s="2"/>
    </x:row>
    <x:row r="278">
      <x:c r="A278" s="2"/>
      <x:c r="B278" s="2"/>
      <x:c r="C278" s="2"/>
      <x:c r="D278" s="2"/>
      <x:c r="E278" s="2"/>
      <x:c r="F278" s="2"/>
      <x:c r="G278" s="2"/>
      <x:c r="H278" s="2"/>
    </x:row>
    <x:row r="279">
      <x:c r="A279" s="2"/>
      <x:c r="B279" s="2"/>
      <x:c r="C279" s="2"/>
      <x:c r="D279" s="2"/>
      <x:c r="E279" s="2"/>
      <x:c r="F279" s="2"/>
      <x:c r="G279" s="2"/>
      <x:c r="H279" s="2"/>
    </x:row>
    <x:row r="280">
      <x:c r="A280" s="2"/>
      <x:c r="B280" s="2"/>
      <x:c r="C280" s="2"/>
      <x:c r="D280" s="2"/>
      <x:c r="E280" s="2"/>
      <x:c r="F280" s="2"/>
      <x:c r="G280" s="2"/>
      <x:c r="H280" s="2"/>
    </x:row>
    <x:row r="281">
      <x:c r="A281" s="2"/>
      <x:c r="B281" s="2"/>
      <x:c r="C281" s="2"/>
      <x:c r="D281" s="2"/>
      <x:c r="E281" s="2"/>
      <x:c r="F281" s="2"/>
      <x:c r="G281" s="2"/>
      <x:c r="H281" s="2"/>
    </x:row>
    <x:row r="282">
      <x:c r="A282" s="2"/>
      <x:c r="B282" s="2"/>
      <x:c r="C282" s="2"/>
      <x:c r="D282" s="2"/>
      <x:c r="E282" s="2"/>
      <x:c r="F282" s="2"/>
      <x:c r="G282" s="2"/>
      <x:c r="H282" s="2"/>
    </x:row>
    <x:row r="283">
      <x:c r="A283" s="2"/>
      <x:c r="B283" s="2"/>
      <x:c r="C283" s="2"/>
      <x:c r="D283" s="2"/>
      <x:c r="E283" s="2"/>
      <x:c r="F283" s="2"/>
      <x:c r="G283" s="2"/>
      <x:c r="H283" s="2"/>
    </x:row>
    <x:row r="284">
      <x:c r="A284" s="2"/>
      <x:c r="B284" s="2"/>
      <x:c r="C284" s="2"/>
      <x:c r="D284" s="2"/>
      <x:c r="E284" s="2"/>
      <x:c r="F284" s="2"/>
      <x:c r="G284" s="2"/>
      <x:c r="H284" s="2"/>
    </x:row>
    <x:row r="285">
      <x:c r="A285" s="2"/>
      <x:c r="B285" s="2"/>
      <x:c r="C285" s="2"/>
      <x:c r="D285" s="2"/>
      <x:c r="E285" s="2"/>
      <x:c r="F285" s="2"/>
      <x:c r="G285" s="2"/>
      <x:c r="H285" s="2"/>
    </x:row>
    <x:row r="286">
      <x:c r="A286" s="2"/>
      <x:c r="B286" s="2"/>
      <x:c r="C286" s="2"/>
      <x:c r="D286" s="2"/>
      <x:c r="E286" s="2"/>
      <x:c r="F286" s="2"/>
      <x:c r="G286" s="2"/>
      <x:c r="H286" s="2"/>
    </x:row>
    <x:row r="287">
      <x:c r="A287" s="2"/>
      <x:c r="B287" s="2"/>
      <x:c r="C287" s="2"/>
      <x:c r="D287" s="2"/>
      <x:c r="E287" s="2"/>
      <x:c r="F287" s="2"/>
      <x:c r="G287" s="2"/>
      <x:c r="H287" s="2"/>
    </x:row>
    <x:row r="288">
      <x:c r="A288" s="2"/>
      <x:c r="B288" s="2"/>
      <x:c r="C288" s="2"/>
      <x:c r="D288" s="2"/>
      <x:c r="E288" s="2"/>
      <x:c r="F288" s="2"/>
      <x:c r="G288" s="2"/>
      <x:c r="H288" s="2"/>
    </x:row>
    <x:row r="289">
      <x:c r="A289" s="2"/>
      <x:c r="B289" s="2"/>
      <x:c r="C289" s="2"/>
      <x:c r="D289" s="2"/>
      <x:c r="E289" s="2"/>
      <x:c r="F289" s="2"/>
      <x:c r="G289" s="2"/>
      <x:c r="H289" s="2"/>
    </x:row>
    <x:row r="290">
      <x:c r="A290" s="2"/>
      <x:c r="B290" s="2"/>
      <x:c r="C290" s="2"/>
      <x:c r="D290" s="2"/>
      <x:c r="E290" s="2"/>
      <x:c r="F290" s="2"/>
      <x:c r="G290" s="2"/>
      <x:c r="H290" s="2"/>
    </x:row>
    <x:row r="291">
      <x:c r="A291" s="2"/>
      <x:c r="B291" s="2"/>
      <x:c r="C291" s="2"/>
      <x:c r="D291" s="2"/>
      <x:c r="E291" s="2"/>
      <x:c r="F291" s="2"/>
      <x:c r="G291" s="2"/>
      <x:c r="H291" s="2"/>
    </x:row>
    <x:row r="292">
      <x:c r="A292" s="2"/>
      <x:c r="B292" s="2"/>
      <x:c r="C292" s="2"/>
      <x:c r="D292" s="2"/>
      <x:c r="E292" s="2"/>
      <x:c r="F292" s="2"/>
      <x:c r="G292" s="2"/>
      <x:c r="H292" s="2"/>
    </x:row>
    <x:row r="293">
      <x:c r="A293" s="2"/>
      <x:c r="B293" s="2"/>
      <x:c r="C293" s="2"/>
      <x:c r="D293" s="2"/>
      <x:c r="E293" s="2"/>
      <x:c r="F293" s="2"/>
      <x:c r="G293" s="2"/>
      <x:c r="H293" s="2"/>
    </x:row>
    <x:row r="294">
      <x:c r="A294" s="2"/>
      <x:c r="B294" s="2"/>
      <x:c r="C294" s="2"/>
      <x:c r="D294" s="2"/>
      <x:c r="E294" s="2"/>
      <x:c r="F294" s="2"/>
      <x:c r="G294" s="2"/>
      <x:c r="H294" s="2"/>
    </x:row>
    <x:row r="295">
      <x:c r="A295" s="2"/>
      <x:c r="B295" s="2"/>
      <x:c r="C295" s="2"/>
      <x:c r="D295" s="2"/>
      <x:c r="E295" s="2"/>
      <x:c r="F295" s="2"/>
      <x:c r="G295" s="2"/>
      <x:c r="H295" s="2"/>
    </x:row>
    <x:row r="296">
      <x:c r="A296" s="2"/>
      <x:c r="B296" s="2"/>
      <x:c r="C296" s="2"/>
      <x:c r="D296" s="2"/>
      <x:c r="E296" s="2"/>
      <x:c r="F296" s="2"/>
      <x:c r="G296" s="2"/>
      <x:c r="H296" s="2"/>
    </x:row>
    <x:row r="297">
      <x:c r="A297" s="2"/>
      <x:c r="B297" s="2"/>
      <x:c r="C297" s="2"/>
      <x:c r="D297" s="2"/>
      <x:c r="E297" s="2"/>
      <x:c r="F297" s="2"/>
      <x:c r="G297" s="2"/>
      <x:c r="H297" s="2"/>
    </x:row>
    <x:row r="298">
      <x:c r="A298" s="2"/>
      <x:c r="B298" s="2"/>
      <x:c r="C298" s="2"/>
      <x:c r="D298" s="2"/>
      <x:c r="E298" s="2"/>
      <x:c r="F298" s="2"/>
      <x:c r="G298" s="2"/>
      <x:c r="H298" s="2"/>
    </x:row>
    <x:row r="299">
      <x:c r="A299" s="2"/>
      <x:c r="B299" s="2"/>
      <x:c r="C299" s="2"/>
      <x:c r="D299" s="2"/>
      <x:c r="E299" s="2"/>
      <x:c r="F299" s="2"/>
      <x:c r="G299" s="2"/>
      <x:c r="H299" s="2"/>
    </x:row>
    <x:row r="300">
      <x:c r="A300" s="2"/>
      <x:c r="B300" s="2"/>
      <x:c r="C300" s="2"/>
      <x:c r="D300" s="2"/>
      <x:c r="E300" s="2"/>
      <x:c r="F300" s="2"/>
      <x:c r="G300" s="2"/>
      <x:c r="H300" s="2"/>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NX-OS Switches Scenarios</x:v>
      </x:c>
      <x:c r="B1" s="4" t="str">
        <x:v>NX-OS Switches Scenarios</x:v>
      </x:c>
      <x:c r="C1" s="4" t="str">
        <x:v>NX-OS Switches Scenarios</x:v>
      </x:c>
      <x:c r="D1" s="4" t="str">
        <x:v>NX-OS Switches Scenarios</x:v>
      </x:c>
      <x:c r="E1" s="4" t="str">
        <x:v>NX-OS Switches Scenarios</x:v>
      </x:c>
      <x:c r="F1" s="4" t="str">
        <x:v>NX-OS Switches Scenarios</x:v>
      </x:c>
      <x:c r="G1" s="4" t="str">
        <x:v>NX-OS Switches Scenarios</x:v>
      </x:c>
      <x:c r="H1" s="4" t="str">
        <x:v>NX-OS Switches Scenarios</x:v>
      </x:c>
      <x:c r="I1" s="4" t="str">
        <x:v>NX-OS Switches Scenarios</x:v>
      </x:c>
      <x:c r="J1" s="4" t="str">
        <x:v>NX-OS Switches Scenarios</x:v>
      </x:c>
      <x:c r="K1" s="4" t="str">
        <x:v>NX-OS Switches Scenarios</x:v>
      </x:c>
      <x:c r="L1" s="4" t="str">
        <x:v>NX-OS Switches Scenarios</x:v>
      </x:c>
      <x:c r="M1" s="4" t="str">
        <x:v>NX-OS Switches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Switch-oriented SSH profile. Core and interface-rate rows are enabled; larger troubleshooting groups are editable and off by default.</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SUM(H13:H29)</x:f>
        <x:v>10320</x:v>
      </x:c>
      <x:c r="C7" s="12" t="n">
        <x:f>B7*(60/$B$4)</x:f>
        <x:v>10320</x:v>
      </x:c>
      <x:c r="D7" s="12" t="n">
        <x:f>C7*60*24</x:f>
        <x:v>14860800</x:v>
      </x:c>
      <x:c r="E7" s="12" t="n">
        <x:f>D7*$D$4</x:f>
        <x:v>452325600</x:v>
      </x:c>
      <x:c r="F7" s="2"/>
      <x:c r="G7" s="2"/>
      <x:c r="H7" s="2"/>
      <x:c r="I7" s="2"/>
      <x:c r="J7" s="2"/>
      <x:c r="K7" s="2"/>
      <x:c r="L7" s="2"/>
      <x:c r="M7" s="2"/>
    </x:row>
    <x:row r="8">
      <x:c r="A8" s="11" t="n">
        <x:v>100</x:v>
      </x:c>
      <x:c r="B8" s="12" t="n">
        <x:f>SUM(J13:J29)</x:f>
        <x:v>103200</x:v>
      </x:c>
      <x:c r="C8" s="12" t="n">
        <x:f>B8*(60/$B$4)</x:f>
        <x:v>103200</x:v>
      </x:c>
      <x:c r="D8" s="12" t="n">
        <x:f>C8*60*24</x:f>
        <x:v>148608000</x:v>
      </x:c>
      <x:c r="E8" s="12" t="n">
        <x:f>D8*$D$4</x:f>
        <x:v>4523256000</x:v>
      </x:c>
      <x:c r="F8" s="2"/>
      <x:c r="G8" s="2"/>
      <x:c r="H8" s="2"/>
      <x:c r="I8" s="2"/>
      <x:c r="J8" s="2"/>
      <x:c r="K8" s="2"/>
      <x:c r="L8" s="2"/>
      <x:c r="M8" s="2"/>
    </x:row>
    <x:row r="9">
      <x:c r="A9" s="11" t="n">
        <x:v>1000</x:v>
      </x:c>
      <x:c r="B9" s="12" t="n">
        <x:f>SUM(L13:L29)</x:f>
        <x:v>1032000</x:v>
      </x:c>
      <x:c r="C9" s="12" t="n">
        <x:f>B9*(60/$B$4)</x:f>
        <x:v>1032000</x:v>
      </x:c>
      <x:c r="D9" s="12" t="n">
        <x:f>C9*60*24</x:f>
        <x:v>1486080000</x:v>
      </x:c>
      <x:c r="E9" s="12" t="n">
        <x:f>D9*$D$4</x:f>
        <x:v>45232560000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Core device health</x:v>
      </x:c>
      <x:c r="B13" s="11" t="n">
        <x:v>1</x:v>
      </x:c>
      <x:c r="C13" s="11" t="n">
        <x:v>1</x:v>
      </x:c>
      <x:c r="D13" s="11" t="n">
        <x:v>1</x:v>
      </x:c>
      <x:c r="E13" s="11" t="n">
        <x:v>4</x:v>
      </x:c>
      <x:c r="F13" s="2" t="str">
        <x:v>devices</x:v>
      </x:c>
      <x:c r="G13" s="2" t="str">
        <x:v>Device up, uptime, CPU, and memory.</x:v>
      </x:c>
      <x:c r="H13" s="12" t="n">
        <x:f>$B13*IF($C13=1,$A$7,1)*$D13*$E13</x:f>
        <x:v>40</x:v>
      </x:c>
      <x:c r="I13" s="12" t="n">
        <x:f>H13*(60/$B$4)*60*24*$D$4</x:f>
        <x:v>1753200</x:v>
      </x:c>
      <x:c r="J13" s="12" t="n">
        <x:f>$B13*IF($C13=1,$A$8,1)*$D13*$E13</x:f>
        <x:v>400</x:v>
      </x:c>
      <x:c r="K13" s="12" t="n">
        <x:f>J13*(60/$B$4)*60*24*$D$4</x:f>
        <x:v>17532000</x:v>
      </x:c>
      <x:c r="L13" s="12" t="n">
        <x:f>$B13*IF($C13=1,$A$9,1)*$D13*$E13</x:f>
        <x:v>4000</x:v>
      </x:c>
      <x:c r="M13" s="12" t="n">
        <x:f>L13*(60/$B$4)*60*24*$D$4</x:f>
        <x:v>175320000</x:v>
      </x:c>
    </x:row>
    <x:row r="14">
      <x:c r="A14" s="2" t="str">
        <x:v>Scrape command health</x:v>
      </x:c>
      <x:c r="B14" s="11" t="n">
        <x:v>1</x:v>
      </x:c>
      <x:c r="C14" s="11" t="n">
        <x:v>1</x:v>
      </x:c>
      <x:c r="D14" s="11" t="n">
        <x:v>6</x:v>
      </x:c>
      <x:c r="E14" s="11" t="n">
        <x:v>3</x:v>
      </x:c>
      <x:c r="F14" s="2" t="str">
        <x:v>command families / device</x:v>
      </x:c>
      <x:c r="G14" s="2" t="str">
        <x:v>Increase command families when optional groups are enabled.</x:v>
      </x:c>
      <x:c r="H14" s="12" t="n">
        <x:f>$B14*IF($C14=1,$A$7,1)*$D14*$E14</x:f>
        <x:v>180</x:v>
      </x:c>
      <x:c r="I14" s="12" t="n">
        <x:f>H14*(60/$B$4)*60*24*$D$4</x:f>
        <x:v>7889400</x:v>
      </x:c>
      <x:c r="J14" s="12" t="n">
        <x:f>$B14*IF($C14=1,$A$8,1)*$D14*$E14</x:f>
        <x:v>1800</x:v>
      </x:c>
      <x:c r="K14" s="12" t="n">
        <x:f>J14*(60/$B$4)*60*24*$D$4</x:f>
        <x:v>78894000</x:v>
      </x:c>
      <x:c r="L14" s="12" t="n">
        <x:f>$B14*IF($C14=1,$A$9,1)*$D14*$E14</x:f>
        <x:v>18000</x:v>
      </x:c>
      <x:c r="M14" s="12" t="n">
        <x:f>L14*(60/$B$4)*60*24*$D$4</x:f>
        <x:v>788940000</x:v>
      </x:c>
    </x:row>
    <x:row r="15">
      <x:c r="A15" s="2" t="str">
        <x:v>Scrape state health</x:v>
      </x:c>
      <x:c r="B15" s="11" t="n">
        <x:v>1</x:v>
      </x:c>
      <x:c r="C15" s="11" t="n">
        <x:v>1</x:v>
      </x:c>
      <x:c r="D15" s="11" t="n">
        <x:v>1</x:v>
      </x:c>
      <x:c r="E15" s="11" t="n">
        <x:v>2</x:v>
      </x:c>
      <x:c r="F15" s="2" t="str">
        <x:v>devices</x:v>
      </x:c>
      <x:c r="G15" s="2" t="str">
        <x:v>Partial success and SSH reconnects.</x:v>
      </x:c>
      <x:c r="H15" s="12" t="n">
        <x:f>$B15*IF($C15=1,$A$7,1)*$D15*$E15</x:f>
        <x:v>20</x:v>
      </x:c>
      <x:c r="I15" s="12" t="n">
        <x:f>H15*(60/$B$4)*60*24*$D$4</x:f>
        <x:v>876600</x:v>
      </x:c>
      <x:c r="J15" s="12" t="n">
        <x:f>$B15*IF($C15=1,$A$8,1)*$D15*$E15</x:f>
        <x:v>200</x:v>
      </x:c>
      <x:c r="K15" s="12" t="n">
        <x:f>J15*(60/$B$4)*60*24*$D$4</x:f>
        <x:v>8766000</x:v>
      </x:c>
      <x:c r="L15" s="12" t="n">
        <x:f>$B15*IF($C15=1,$A$9,1)*$D15*$E15</x:f>
        <x:v>2000</x:v>
      </x:c>
      <x:c r="M15" s="12" t="n">
        <x:f>L15*(60/$B$4)*60*24*$D$4</x:f>
        <x:v>87660000</x:v>
      </x:c>
    </x:row>
    <x:row r="16">
      <x:c r="A16" s="2" t="str">
        <x:v>Core interface telemetry</x:v>
      </x:c>
      <x:c r="B16" s="11" t="n">
        <x:v>1</x:v>
      </x:c>
      <x:c r="C16" s="11" t="n">
        <x:v>1</x:v>
      </x:c>
      <x:c r="D16" s="11" t="n">
        <x:v>48</x:v>
      </x:c>
      <x:c r="E16" s="11" t="n">
        <x:v>17</x:v>
      </x:c>
      <x:c r="F16" s="2" t="str">
        <x:v>interfaces / switch</x:v>
      </x:c>
      <x:c r="G16" s="2" t="str">
        <x:v>Status, admin status, speed, utilization, bytes, packets, errors, and drops.</x:v>
      </x:c>
      <x:c r="H16" s="12" t="n">
        <x:f>$B16*IF($C16=1,$A$7,1)*$D16*$E16</x:f>
        <x:v>8160</x:v>
      </x:c>
      <x:c r="I16" s="12" t="n">
        <x:f>H16*(60/$B$4)*60*24*$D$4</x:f>
        <x:v>357652800</x:v>
      </x:c>
      <x:c r="J16" s="12" t="n">
        <x:f>$B16*IF($C16=1,$A$8,1)*$D16*$E16</x:f>
        <x:v>81600</x:v>
      </x:c>
      <x:c r="K16" s="12" t="n">
        <x:f>J16*(60/$B$4)*60*24*$D$4</x:f>
        <x:v>3576528000</x:v>
      </x:c>
      <x:c r="L16" s="12" t="n">
        <x:f>$B16*IF($C16=1,$A$9,1)*$D16*$E16</x:f>
        <x:v>816000</x:v>
      </x:c>
      <x:c r="M16" s="12" t="n">
        <x:f>L16*(60/$B$4)*60*24*$D$4</x:f>
        <x:v>35765280000</x:v>
      </x:c>
    </x:row>
    <x:row r="17">
      <x:c r="A17" s="2" t="str">
        <x:v>Optional interface rates</x:v>
      </x:c>
      <x:c r="B17" s="11" t="n">
        <x:v>1</x:v>
      </x:c>
      <x:c r="C17" s="11" t="n">
        <x:v>1</x:v>
      </x:c>
      <x:c r="D17" s="11" t="n">
        <x:v>48</x:v>
      </x:c>
      <x:c r="E17" s="11" t="n">
        <x:v>4</x:v>
      </x:c>
      <x:c r="F17" s="2" t="str">
        <x:v>interfaces / switch</x:v>
      </x:c>
      <x:c r="G17" s="2" t="str">
        <x:v>Bit and packet rates by direction.</x:v>
      </x:c>
      <x:c r="H17" s="12" t="n">
        <x:f>$B17*IF($C17=1,$A$7,1)*$D17*$E17</x:f>
        <x:v>1920</x:v>
      </x:c>
      <x:c r="I17" s="12" t="n">
        <x:f>H17*(60/$B$4)*60*24*$D$4</x:f>
        <x:v>84153600</x:v>
      </x:c>
      <x:c r="J17" s="12" t="n">
        <x:f>$B17*IF($C17=1,$A$8,1)*$D17*$E17</x:f>
        <x:v>19200</x:v>
      </x:c>
      <x:c r="K17" s="12" t="n">
        <x:f>J17*(60/$B$4)*60*24*$D$4</x:f>
        <x:v>841536000</x:v>
      </x:c>
      <x:c r="L17" s="12" t="n">
        <x:f>$B17*IF($C17=1,$A$9,1)*$D17*$E17</x:f>
        <x:v>192000</x:v>
      </x:c>
      <x:c r="M17" s="12" t="n">
        <x:f>L17*(60/$B$4)*60*24*$D$4</x:f>
        <x:v>8415360000</x:v>
      </x:c>
    </x:row>
    <x:row r="18">
      <x:c r="A18" s="2" t="str">
        <x:v>Detailed interface counters</x:v>
      </x:c>
      <x:c r="B18" s="11" t="n">
        <x:v>0</x:v>
      </x:c>
      <x:c r="C18" s="11" t="n">
        <x:v>1</x:v>
      </x:c>
      <x:c r="D18" s="11" t="n">
        <x:v>48</x:v>
      </x:c>
      <x:c r="E18" s="11" t="n">
        <x:v>50</x:v>
      </x:c>
      <x:c r="F18" s="2" t="str">
        <x:v>interfaces x retained counter names</x:v>
      </x:c>
      <x:c r="G18" s="2" t="str">
        <x:v>High-volume row. Tune retained counter names with include/exclude/max_per_interface.</x:v>
      </x:c>
      <x:c r="H18" s="12" t="n">
        <x:f>$B18*IF($C18=1,$A$7,1)*$D18*$E18</x:f>
        <x:v>0</x:v>
      </x:c>
      <x:c r="I18" s="12" t="n">
        <x:f>H18*(60/$B$4)*60*24*$D$4</x:f>
        <x:v>0</x:v>
      </x:c>
      <x:c r="J18" s="12" t="n">
        <x:f>$B18*IF($C18=1,$A$8,1)*$D18*$E18</x:f>
        <x:v>0</x:v>
      </x:c>
      <x:c r="K18" s="12" t="n">
        <x:f>J18*(60/$B$4)*60*24*$D$4</x:f>
        <x:v>0</x:v>
      </x:c>
      <x:c r="L18" s="12" t="n">
        <x:f>$B18*IF($C18=1,$A$9,1)*$D18*$E18</x:f>
        <x:v>0</x:v>
      </x:c>
      <x:c r="M18" s="12" t="n">
        <x:f>L18*(60/$B$4)*60*24*$D$4</x:f>
        <x:v>0</x:v>
      </x:c>
    </x:row>
    <x:row r="19">
      <x:c r="A19" s="2" t="str">
        <x:v>Structured pause frames</x:v>
      </x:c>
      <x:c r="B19" s="11" t="n">
        <x:v>0</x:v>
      </x:c>
      <x:c r="C19" s="11" t="n">
        <x:v>1</x:v>
      </x:c>
      <x:c r="D19" s="11" t="n">
        <x:v>48</x:v>
      </x:c>
      <x:c r="E19" s="11" t="n">
        <x:v>4</x:v>
      </x:c>
      <x:c r="F19" s="2" t="str">
        <x:v>interfaces / switch</x:v>
      </x:c>
      <x:c r="G19" s="2" t="str">
        <x:v>Pause frame dimensions by direction, type, and priority.</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t="str">
        <x:v>Structured QoS queues</x:v>
      </x:c>
      <x:c r="B20" s="11" t="n">
        <x:v>0</x:v>
      </x:c>
      <x:c r="C20" s="11" t="n">
        <x:v>1</x:v>
      </x:c>
      <x:c r="D20" s="11" t="n">
        <x:v>48</x:v>
      </x:c>
      <x:c r="E20" s="11" t="n">
        <x:v>16</x:v>
      </x:c>
      <x:c r="F20" s="2" t="str">
        <x:v>interfaces x queue/action combos</x:v>
      </x:c>
      <x:c r="G20" s="2" t="str">
        <x:v>Queue, group, action, drop reason, source, and direction combinations.</x:v>
      </x:c>
      <x:c r="H20" s="12" t="n">
        <x:f>$B20*IF($C20=1,$A$7,1)*$D20*$E20</x:f>
        <x:v>0</x:v>
      </x:c>
      <x:c r="I20" s="12" t="n">
        <x:f>H20*(60/$B$4)*60*24*$D$4</x:f>
        <x:v>0</x:v>
      </x:c>
      <x:c r="J20" s="12" t="n">
        <x:f>$B20*IF($C20=1,$A$8,1)*$D20*$E20</x:f>
        <x:v>0</x:v>
      </x:c>
      <x:c r="K20" s="12" t="n">
        <x:f>J20*(60/$B$4)*60*24*$D$4</x:f>
        <x:v>0</x:v>
      </x:c>
      <x:c r="L20" s="12" t="n">
        <x:f>$B20*IF($C20=1,$A$9,1)*$D20*$E20</x:f>
        <x:v>0</x:v>
      </x:c>
      <x:c r="M20" s="12" t="n">
        <x:f>L20*(60/$B$4)*60*24*$D$4</x:f>
        <x:v>0</x:v>
      </x:c>
    </x:row>
    <x:row r="21">
      <x:c r="A21" s="2" t="str">
        <x:v>Structured QoS policies</x:v>
      </x:c>
      <x:c r="B21" s="11" t="n">
        <x:v>0</x:v>
      </x:c>
      <x:c r="C21" s="11" t="n">
        <x:v>1</x:v>
      </x:c>
      <x:c r="D21" s="11" t="n">
        <x:v>48</x:v>
      </x:c>
      <x:c r="E21" s="11" t="n">
        <x:v>12</x:v>
      </x:c>
      <x:c r="F21" s="2" t="str">
        <x:v>interfaces x policy/action combos</x:v>
      </x:c>
      <x:c r="G21" s="2" t="str">
        <x:v>Class, action, drop reason, source, and direction combinations.</x:v>
      </x:c>
      <x:c r="H21" s="12" t="n">
        <x:f>$B21*IF($C21=1,$A$7,1)*$D21*$E21</x:f>
        <x:v>0</x:v>
      </x:c>
      <x:c r="I21" s="12" t="n">
        <x:f>H21*(60/$B$4)*60*24*$D$4</x:f>
        <x:v>0</x:v>
      </x:c>
      <x:c r="J21" s="12" t="n">
        <x:f>$B21*IF($C21=1,$A$8,1)*$D21*$E21</x:f>
        <x:v>0</x:v>
      </x:c>
      <x:c r="K21" s="12" t="n">
        <x:f>J21*(60/$B$4)*60*24*$D$4</x:f>
        <x:v>0</x:v>
      </x:c>
      <x:c r="L21" s="12" t="n">
        <x:f>$B21*IF($C21=1,$A$9,1)*$D21*$E21</x:f>
        <x:v>0</x:v>
      </x:c>
      <x:c r="M21" s="12" t="n">
        <x:f>L21*(60/$B$4)*60*24*$D$4</x:f>
        <x:v>0</x:v>
      </x:c>
    </x:row>
    <x:row r="22">
      <x:c r="A22" s="2" t="str">
        <x:v>L2 topology interface state</x:v>
      </x:c>
      <x:c r="B22" s="11" t="n">
        <x:v>0</x:v>
      </x:c>
      <x:c r="C22" s="11" t="n">
        <x:v>1</x:v>
      </x:c>
      <x:c r="D22" s="11" t="n">
        <x:v>48</x:v>
      </x:c>
      <x:c r="E22" s="11" t="n">
        <x:v>5</x:v>
      </x:c>
      <x:c r="F22" s="2" t="str">
        <x:v>interfaces / switch</x:v>
      </x:c>
      <x:c r="G22" s="2" t="str">
        <x:v>Err-disabled, port-channel, vPC, and topology neighbor rows.</x:v>
      </x:c>
      <x:c r="H22" s="12" t="n">
        <x:f>$B22*IF($C22=1,$A$7,1)*$D22*$E22</x:f>
        <x:v>0</x:v>
      </x:c>
      <x:c r="I22" s="12" t="n">
        <x:f>H22*(60/$B$4)*60*24*$D$4</x:f>
        <x:v>0</x:v>
      </x:c>
      <x:c r="J22" s="12" t="n">
        <x:f>$B22*IF($C22=1,$A$8,1)*$D22*$E22</x:f>
        <x:v>0</x:v>
      </x:c>
      <x:c r="K22" s="12" t="n">
        <x:f>J22*(60/$B$4)*60*24*$D$4</x:f>
        <x:v>0</x:v>
      </x:c>
      <x:c r="L22" s="12" t="n">
        <x:f>$B22*IF($C22=1,$A$9,1)*$D22*$E22</x:f>
        <x:v>0</x:v>
      </x:c>
      <x:c r="M22" s="12" t="n">
        <x:f>L22*(60/$B$4)*60*24*$D$4</x:f>
        <x:v>0</x:v>
      </x:c>
    </x:row>
    <x:row r="23">
      <x:c r="A23" s="2" t="str">
        <x:v>L2 STP and VLAN metrics</x:v>
      </x:c>
      <x:c r="B23" s="11" t="n">
        <x:v>0</x:v>
      </x:c>
      <x:c r="C23" s="11" t="n">
        <x:v>1</x:v>
      </x:c>
      <x:c r="D23" s="11" t="n">
        <x:v>128</x:v>
      </x:c>
      <x:c r="E23" s="11" t="n">
        <x:v>3</x:v>
      </x:c>
      <x:c r="F23" s="2" t="str">
        <x:v>VLAN/interface combos / switch</x:v>
      </x:c>
      <x:c r="G23" s="2" t="str">
        <x:v>Bound with max_vlans and max_interfaces.</x:v>
      </x:c>
      <x:c r="H23" s="12" t="n">
        <x:f>$B23*IF($C23=1,$A$7,1)*$D23*$E23</x:f>
        <x:v>0</x:v>
      </x:c>
      <x:c r="I23" s="12" t="n">
        <x:f>H23*(60/$B$4)*60*24*$D$4</x:f>
        <x:v>0</x:v>
      </x:c>
      <x:c r="J23" s="12" t="n">
        <x:f>$B23*IF($C23=1,$A$8,1)*$D23*$E23</x:f>
        <x:v>0</x:v>
      </x:c>
      <x:c r="K23" s="12" t="n">
        <x:f>J23*(60/$B$4)*60*24*$D$4</x:f>
        <x:v>0</x:v>
      </x:c>
      <x:c r="L23" s="12" t="n">
        <x:f>$B23*IF($C23=1,$A$9,1)*$D23*$E23</x:f>
        <x:v>0</x:v>
      </x:c>
      <x:c r="M23" s="12" t="n">
        <x:f>L23*(60/$B$4)*60*24*$D$4</x:f>
        <x:v>0</x:v>
      </x:c>
    </x:row>
    <x:row r="24">
      <x:c r="A24" s="2" t="str">
        <x:v>LACP metrics</x:v>
      </x:c>
      <x:c r="B24" s="11" t="n">
        <x:v>0</x:v>
      </x:c>
      <x:c r="C24" s="11" t="n">
        <x:v>1</x:v>
      </x:c>
      <x:c r="D24" s="11" t="n">
        <x:v>8</x:v>
      </x:c>
      <x:c r="E24" s="11" t="n">
        <x:v>5</x:v>
      </x:c>
      <x:c r="F24" s="2" t="str">
        <x:v>LACP members / switch</x:v>
      </x:c>
      <x:c r="G24" s="2" t="str">
        <x:v>Packet and error types by direction.</x:v>
      </x:c>
      <x:c r="H24" s="12" t="n">
        <x:f>$B24*IF($C24=1,$A$7,1)*$D24*$E24</x:f>
        <x:v>0</x:v>
      </x:c>
      <x:c r="I24" s="12" t="n">
        <x:f>H24*(60/$B$4)*60*24*$D$4</x:f>
        <x:v>0</x:v>
      </x:c>
      <x:c r="J24" s="12" t="n">
        <x:f>$B24*IF($C24=1,$A$8,1)*$D24*$E24</x:f>
        <x:v>0</x:v>
      </x:c>
      <x:c r="K24" s="12" t="n">
        <x:f>J24*(60/$B$4)*60*24*$D$4</x:f>
        <x:v>0</x:v>
      </x:c>
      <x:c r="L24" s="12" t="n">
        <x:f>$B24*IF($C24=1,$A$9,1)*$D24*$E24</x:f>
        <x:v>0</x:v>
      </x:c>
      <x:c r="M24" s="12" t="n">
        <x:f>L24*(60/$B$4)*60*24*$D$4</x:f>
        <x:v>0</x:v>
      </x:c>
    </x:row>
    <x:row r="25">
      <x:c r="A25" s="2" t="str">
        <x:v>Transceiver sensors</x:v>
      </x:c>
      <x:c r="B25" s="11" t="n">
        <x:v>0</x:v>
      </x:c>
      <x:c r="C25" s="11" t="n">
        <x:v>1</x:v>
      </x:c>
      <x:c r="D25" s="11" t="n">
        <x:v>32</x:v>
      </x:c>
      <x:c r="E25" s="11" t="n">
        <x:v>5</x:v>
      </x:c>
      <x:c r="F25" s="2" t="str">
        <x:v>optic interfaces / switch</x:v>
      </x:c>
      <x:c r="G25" s="2" t="str">
        <x:v>Sensor, lane, and unit combinations.</x:v>
      </x:c>
      <x:c r="H25" s="12" t="n">
        <x:f>$B25*IF($C25=1,$A$7,1)*$D25*$E25</x:f>
        <x:v>0</x:v>
      </x:c>
      <x:c r="I25" s="12" t="n">
        <x:f>H25*(60/$B$4)*60*24*$D$4</x:f>
        <x:v>0</x:v>
      </x:c>
      <x:c r="J25" s="12" t="n">
        <x:f>$B25*IF($C25=1,$A$8,1)*$D25*$E25</x:f>
        <x:v>0</x:v>
      </x:c>
      <x:c r="K25" s="12" t="n">
        <x:f>J25*(60/$B$4)*60*24*$D$4</x:f>
        <x:v>0</x:v>
      </x:c>
      <x:c r="L25" s="12" t="n">
        <x:f>$B25*IF($C25=1,$A$9,1)*$D25*$E25</x:f>
        <x:v>0</x:v>
      </x:c>
      <x:c r="M25" s="12" t="n">
        <x:f>L25*(60/$B$4)*60*24*$D$4</x:f>
        <x:v>0</x:v>
      </x:c>
    </x:row>
    <x:row r="26">
      <x:c r="A26" s="2" t="str">
        <x:v>Protocol traffic</x:v>
      </x:c>
      <x:c r="B26" s="11" t="n">
        <x:v>0</x:v>
      </x:c>
      <x:c r="C26" s="11" t="n">
        <x:v>1</x:v>
      </x:c>
      <x:c r="D26" s="11" t="n">
        <x:v>60</x:v>
      </x:c>
      <x:c r="E26" s="11" t="n">
        <x:v>1</x:v>
      </x:c>
      <x:c r="F26" s="2" t="str">
        <x:v>protocol dimensions / switch</x:v>
      </x:c>
      <x:c r="G26" s="2" t="str">
        <x:v>Protocol, message, error, drop reason, and direction combinations.</x:v>
      </x:c>
      <x:c r="H26" s="12" t="n">
        <x:f>$B26*IF($C26=1,$A$7,1)*$D26*$E26</x:f>
        <x:v>0</x:v>
      </x:c>
      <x:c r="I26" s="12" t="n">
        <x:f>H26*(60/$B$4)*60*24*$D$4</x:f>
        <x:v>0</x:v>
      </x:c>
      <x:c r="J26" s="12" t="n">
        <x:f>$B26*IF($C26=1,$A$8,1)*$D26*$E26</x:f>
        <x:v>0</x:v>
      </x:c>
      <x:c r="K26" s="12" t="n">
        <x:f>J26*(60/$B$4)*60*24*$D$4</x:f>
        <x:v>0</x:v>
      </x:c>
      <x:c r="L26" s="12" t="n">
        <x:f>$B26*IF($C26=1,$A$9,1)*$D26*$E26</x:f>
        <x:v>0</x:v>
      </x:c>
      <x:c r="M26" s="12" t="n">
        <x:f>L26*(60/$B$4)*60*24*$D$4</x:f>
        <x:v>0</x:v>
      </x:c>
    </x:row>
    <x:row r="27">
      <x:c r="A27" s="2" t="str">
        <x:v>Hardware health</x:v>
      </x:c>
      <x:c r="B27" s="11" t="n">
        <x:v>0</x:v>
      </x:c>
      <x:c r="C27" s="11" t="n">
        <x:v>1</x:v>
      </x:c>
      <x:c r="D27" s="11" t="n">
        <x:v>40</x:v>
      </x:c>
      <x:c r="E27" s="11" t="n">
        <x:v>1</x:v>
      </x:c>
      <x:c r="F27" s="2" t="str">
        <x:v>components/sensors / switch</x:v>
      </x:c>
      <x:c r="G27" s="2" t="str">
        <x:v>Fan, power, module, platform, and temperature components.</x:v>
      </x:c>
      <x:c r="H27" s="12" t="n">
        <x:f>$B27*IF($C27=1,$A$7,1)*$D27*$E27</x:f>
        <x:v>0</x:v>
      </x:c>
      <x:c r="I27" s="12" t="n">
        <x:f>H27*(60/$B$4)*60*24*$D$4</x:f>
        <x:v>0</x:v>
      </x:c>
      <x:c r="J27" s="12" t="n">
        <x:f>$B27*IF($C27=1,$A$8,1)*$D27*$E27</x:f>
        <x:v>0</x:v>
      </x:c>
      <x:c r="K27" s="12" t="n">
        <x:f>J27*(60/$B$4)*60*24*$D$4</x:f>
        <x:v>0</x:v>
      </x:c>
      <x:c r="L27" s="12" t="n">
        <x:f>$B27*IF($C27=1,$A$9,1)*$D27*$E27</x:f>
        <x:v>0</x:v>
      </x:c>
      <x:c r="M27" s="12" t="n">
        <x:f>L27*(60/$B$4)*60*24*$D$4</x:f>
        <x:v>0</x:v>
      </x:c>
    </x:row>
    <x:row r="28">
      <x:c r="A28" s="2" t="str">
        <x:v>Routing neighbors</x:v>
      </x:c>
      <x:c r="B28" s="11" t="n">
        <x:v>0</x:v>
      </x:c>
      <x:c r="C28" s="11" t="n">
        <x:v>1</x:v>
      </x:c>
      <x:c r="D28" s="11" t="n">
        <x:v>20</x:v>
      </x:c>
      <x:c r="E28" s="11" t="n">
        <x:v>2</x:v>
      </x:c>
      <x:c r="F28" s="2" t="str">
        <x:v>neighbors / switch</x:v>
      </x:c>
      <x:c r="G28" s="2" t="str">
        <x:v>Neighbor state and prefix metrics.</x:v>
      </x:c>
      <x:c r="H28" s="12" t="n">
        <x:f>$B28*IF($C28=1,$A$7,1)*$D28*$E28</x:f>
        <x:v>0</x:v>
      </x:c>
      <x:c r="I28" s="12" t="n">
        <x:f>H28*(60/$B$4)*60*24*$D$4</x:f>
        <x:v>0</x:v>
      </x:c>
      <x:c r="J28" s="12" t="n">
        <x:f>$B28*IF($C28=1,$A$8,1)*$D28*$E28</x:f>
        <x:v>0</x:v>
      </x:c>
      <x:c r="K28" s="12" t="n">
        <x:f>J28*(60/$B$4)*60*24*$D$4</x:f>
        <x:v>0</x:v>
      </x:c>
      <x:c r="L28" s="12" t="n">
        <x:f>$B28*IF($C28=1,$A$9,1)*$D28*$E28</x:f>
        <x:v>0</x:v>
      </x:c>
      <x:c r="M28" s="12" t="n">
        <x:f>L28*(60/$B$4)*60*24*$D$4</x:f>
        <x:v>0</x:v>
      </x:c>
    </x:row>
    <x:row r="29">
      <x:c r="A29" s="2" t="str">
        <x:v>VXLAN/EVPN fabric</x:v>
      </x:c>
      <x:c r="B29" s="11" t="n">
        <x:v>0</x:v>
      </x:c>
      <x:c r="C29" s="11" t="n">
        <x:v>1</x:v>
      </x:c>
      <x:c r="D29" s="11" t="n">
        <x:v>128</x:v>
      </x:c>
      <x:c r="E29" s="11" t="n">
        <x:v>1</x:v>
      </x:c>
      <x:c r="F29" s="2" t="str">
        <x:v>peer/VNI/route combos / switch</x:v>
      </x:c>
      <x:c r="G29" s="2" t="str">
        <x:v>NX-OS NVE peer, VNI, and EVPN route dimensions.</x:v>
      </x:c>
      <x:c r="H29" s="12" t="n">
        <x:f>$B29*IF($C29=1,$A$7,1)*$D29*$E29</x:f>
        <x:v>0</x:v>
      </x:c>
      <x:c r="I29" s="12" t="n">
        <x:f>H29*(60/$B$4)*60*24*$D$4</x:f>
        <x:v>0</x:v>
      </x:c>
      <x:c r="J29" s="12" t="n">
        <x:f>$B29*IF($C29=1,$A$8,1)*$D29*$E29</x:f>
        <x:v>0</x:v>
      </x:c>
      <x:c r="K29" s="12" t="n">
        <x:f>J29*(60/$B$4)*60*24*$D$4</x:f>
        <x:v>0</x:v>
      </x:c>
      <x:c r="L29" s="12" t="n">
        <x:f>$B29*IF($C29=1,$A$9,1)*$D29*$E29</x:f>
        <x:v>0</x:v>
      </x:c>
      <x:c r="M29" s="12" t="n">
        <x:f>L29*(60/$B$4)*60*24*$D$4</x:f>
        <x:v>0</x:v>
      </x:c>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7.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IOS XE Switches Scenarios</x:v>
      </x:c>
      <x:c r="B1" s="4" t="str">
        <x:v>IOS XE Switches Scenarios</x:v>
      </x:c>
      <x:c r="C1" s="4" t="str">
        <x:v>IOS XE Switches Scenarios</x:v>
      </x:c>
      <x:c r="D1" s="4" t="str">
        <x:v>IOS XE Switches Scenarios</x:v>
      </x:c>
      <x:c r="E1" s="4" t="str">
        <x:v>IOS XE Switches Scenarios</x:v>
      </x:c>
      <x:c r="F1" s="4" t="str">
        <x:v>IOS XE Switches Scenarios</x:v>
      </x:c>
      <x:c r="G1" s="4" t="str">
        <x:v>IOS XE Switches Scenarios</x:v>
      </x:c>
      <x:c r="H1" s="4" t="str">
        <x:v>IOS XE Switches Scenarios</x:v>
      </x:c>
      <x:c r="I1" s="4" t="str">
        <x:v>IOS XE Switches Scenarios</x:v>
      </x:c>
      <x:c r="J1" s="4" t="str">
        <x:v>IOS XE Switches Scenarios</x:v>
      </x:c>
      <x:c r="K1" s="4" t="str">
        <x:v>IOS XE Switches Scenarios</x:v>
      </x:c>
      <x:c r="L1" s="4" t="str">
        <x:v>IOS XE Switches Scenarios</x:v>
      </x:c>
      <x:c r="M1" s="4" t="str">
        <x:v>IOS XE Switches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Switch-oriented SSH profile. Core and interface-rate rows are enabled; IOS XE QFP rows remain off unless modeling edge/router dataplane collection.</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SUM(H13:H33)</x:f>
        <x:v>10320</x:v>
      </x:c>
      <x:c r="C7" s="12" t="n">
        <x:f>B7*(60/$B$4)</x:f>
        <x:v>10320</x:v>
      </x:c>
      <x:c r="D7" s="12" t="n">
        <x:f>C7*60*24</x:f>
        <x:v>14860800</x:v>
      </x:c>
      <x:c r="E7" s="12" t="n">
        <x:f>D7*$D$4</x:f>
        <x:v>452325600</x:v>
      </x:c>
      <x:c r="F7" s="2"/>
      <x:c r="G7" s="2"/>
      <x:c r="H7" s="2"/>
      <x:c r="I7" s="2"/>
      <x:c r="J7" s="2"/>
      <x:c r="K7" s="2"/>
      <x:c r="L7" s="2"/>
      <x:c r="M7" s="2"/>
    </x:row>
    <x:row r="8">
      <x:c r="A8" s="11" t="n">
        <x:v>100</x:v>
      </x:c>
      <x:c r="B8" s="12" t="n">
        <x:f>SUM(J13:J33)</x:f>
        <x:v>103200</x:v>
      </x:c>
      <x:c r="C8" s="12" t="n">
        <x:f>B8*(60/$B$4)</x:f>
        <x:v>103200</x:v>
      </x:c>
      <x:c r="D8" s="12" t="n">
        <x:f>C8*60*24</x:f>
        <x:v>148608000</x:v>
      </x:c>
      <x:c r="E8" s="12" t="n">
        <x:f>D8*$D$4</x:f>
        <x:v>4523256000</x:v>
      </x:c>
      <x:c r="F8" s="2"/>
      <x:c r="G8" s="2"/>
      <x:c r="H8" s="2"/>
      <x:c r="I8" s="2"/>
      <x:c r="J8" s="2"/>
      <x:c r="K8" s="2"/>
      <x:c r="L8" s="2"/>
      <x:c r="M8" s="2"/>
    </x:row>
    <x:row r="9">
      <x:c r="A9" s="11" t="n">
        <x:v>1000</x:v>
      </x:c>
      <x:c r="B9" s="12" t="n">
        <x:f>SUM(L13:L33)</x:f>
        <x:v>1032000</x:v>
      </x:c>
      <x:c r="C9" s="12" t="n">
        <x:f>B9*(60/$B$4)</x:f>
        <x:v>1032000</x:v>
      </x:c>
      <x:c r="D9" s="12" t="n">
        <x:f>C9*60*24</x:f>
        <x:v>1486080000</x:v>
      </x:c>
      <x:c r="E9" s="12" t="n">
        <x:f>D9*$D$4</x:f>
        <x:v>45232560000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Core device health</x:v>
      </x:c>
      <x:c r="B13" s="11" t="n">
        <x:v>1</x:v>
      </x:c>
      <x:c r="C13" s="11" t="n">
        <x:v>1</x:v>
      </x:c>
      <x:c r="D13" s="11" t="n">
        <x:v>1</x:v>
      </x:c>
      <x:c r="E13" s="11" t="n">
        <x:v>4</x:v>
      </x:c>
      <x:c r="F13" s="2" t="str">
        <x:v>devices</x:v>
      </x:c>
      <x:c r="G13" s="2" t="str">
        <x:v>Device up, uptime, CPU, and memory.</x:v>
      </x:c>
      <x:c r="H13" s="12" t="n">
        <x:f>$B13*IF($C13=1,$A$7,1)*$D13*$E13</x:f>
        <x:v>40</x:v>
      </x:c>
      <x:c r="I13" s="12" t="n">
        <x:f>H13*(60/$B$4)*60*24*$D$4</x:f>
        <x:v>1753200</x:v>
      </x:c>
      <x:c r="J13" s="12" t="n">
        <x:f>$B13*IF($C13=1,$A$8,1)*$D13*$E13</x:f>
        <x:v>400</x:v>
      </x:c>
      <x:c r="K13" s="12" t="n">
        <x:f>J13*(60/$B$4)*60*24*$D$4</x:f>
        <x:v>17532000</x:v>
      </x:c>
      <x:c r="L13" s="12" t="n">
        <x:f>$B13*IF($C13=1,$A$9,1)*$D13*$E13</x:f>
        <x:v>4000</x:v>
      </x:c>
      <x:c r="M13" s="12" t="n">
        <x:f>L13*(60/$B$4)*60*24*$D$4</x:f>
        <x:v>175320000</x:v>
      </x:c>
    </x:row>
    <x:row r="14">
      <x:c r="A14" s="2" t="str">
        <x:v>Scrape command health</x:v>
      </x:c>
      <x:c r="B14" s="11" t="n">
        <x:v>1</x:v>
      </x:c>
      <x:c r="C14" s="11" t="n">
        <x:v>1</x:v>
      </x:c>
      <x:c r="D14" s="11" t="n">
        <x:v>6</x:v>
      </x:c>
      <x:c r="E14" s="11" t="n">
        <x:v>3</x:v>
      </x:c>
      <x:c r="F14" s="2" t="str">
        <x:v>command families / device</x:v>
      </x:c>
      <x:c r="G14" s="2" t="str">
        <x:v>Increase command families when optional groups are enabled.</x:v>
      </x:c>
      <x:c r="H14" s="12" t="n">
        <x:f>$B14*IF($C14=1,$A$7,1)*$D14*$E14</x:f>
        <x:v>180</x:v>
      </x:c>
      <x:c r="I14" s="12" t="n">
        <x:f>H14*(60/$B$4)*60*24*$D$4</x:f>
        <x:v>7889400</x:v>
      </x:c>
      <x:c r="J14" s="12" t="n">
        <x:f>$B14*IF($C14=1,$A$8,1)*$D14*$E14</x:f>
        <x:v>1800</x:v>
      </x:c>
      <x:c r="K14" s="12" t="n">
        <x:f>J14*(60/$B$4)*60*24*$D$4</x:f>
        <x:v>78894000</x:v>
      </x:c>
      <x:c r="L14" s="12" t="n">
        <x:f>$B14*IF($C14=1,$A$9,1)*$D14*$E14</x:f>
        <x:v>18000</x:v>
      </x:c>
      <x:c r="M14" s="12" t="n">
        <x:f>L14*(60/$B$4)*60*24*$D$4</x:f>
        <x:v>788940000</x:v>
      </x:c>
    </x:row>
    <x:row r="15">
      <x:c r="A15" s="2" t="str">
        <x:v>Scrape state health</x:v>
      </x:c>
      <x:c r="B15" s="11" t="n">
        <x:v>1</x:v>
      </x:c>
      <x:c r="C15" s="11" t="n">
        <x:v>1</x:v>
      </x:c>
      <x:c r="D15" s="11" t="n">
        <x:v>1</x:v>
      </x:c>
      <x:c r="E15" s="11" t="n">
        <x:v>2</x:v>
      </x:c>
      <x:c r="F15" s="2" t="str">
        <x:v>devices</x:v>
      </x:c>
      <x:c r="G15" s="2" t="str">
        <x:v>Partial success and SSH reconnects.</x:v>
      </x:c>
      <x:c r="H15" s="12" t="n">
        <x:f>$B15*IF($C15=1,$A$7,1)*$D15*$E15</x:f>
        <x:v>20</x:v>
      </x:c>
      <x:c r="I15" s="12" t="n">
        <x:f>H15*(60/$B$4)*60*24*$D$4</x:f>
        <x:v>876600</x:v>
      </x:c>
      <x:c r="J15" s="12" t="n">
        <x:f>$B15*IF($C15=1,$A$8,1)*$D15*$E15</x:f>
        <x:v>200</x:v>
      </x:c>
      <x:c r="K15" s="12" t="n">
        <x:f>J15*(60/$B$4)*60*24*$D$4</x:f>
        <x:v>8766000</x:v>
      </x:c>
      <x:c r="L15" s="12" t="n">
        <x:f>$B15*IF($C15=1,$A$9,1)*$D15*$E15</x:f>
        <x:v>2000</x:v>
      </x:c>
      <x:c r="M15" s="12" t="n">
        <x:f>L15*(60/$B$4)*60*24*$D$4</x:f>
        <x:v>87660000</x:v>
      </x:c>
    </x:row>
    <x:row r="16">
      <x:c r="A16" s="2" t="str">
        <x:v>Core interface telemetry</x:v>
      </x:c>
      <x:c r="B16" s="11" t="n">
        <x:v>1</x:v>
      </x:c>
      <x:c r="C16" s="11" t="n">
        <x:v>1</x:v>
      </x:c>
      <x:c r="D16" s="11" t="n">
        <x:v>48</x:v>
      </x:c>
      <x:c r="E16" s="11" t="n">
        <x:v>17</x:v>
      </x:c>
      <x:c r="F16" s="2" t="str">
        <x:v>interfaces / switch</x:v>
      </x:c>
      <x:c r="G16" s="2" t="str">
        <x:v>Status, admin status, speed, utilization, bytes, packets, errors, and drops.</x:v>
      </x:c>
      <x:c r="H16" s="12" t="n">
        <x:f>$B16*IF($C16=1,$A$7,1)*$D16*$E16</x:f>
        <x:v>8160</x:v>
      </x:c>
      <x:c r="I16" s="12" t="n">
        <x:f>H16*(60/$B$4)*60*24*$D$4</x:f>
        <x:v>357652800</x:v>
      </x:c>
      <x:c r="J16" s="12" t="n">
        <x:f>$B16*IF($C16=1,$A$8,1)*$D16*$E16</x:f>
        <x:v>81600</x:v>
      </x:c>
      <x:c r="K16" s="12" t="n">
        <x:f>J16*(60/$B$4)*60*24*$D$4</x:f>
        <x:v>3576528000</x:v>
      </x:c>
      <x:c r="L16" s="12" t="n">
        <x:f>$B16*IF($C16=1,$A$9,1)*$D16*$E16</x:f>
        <x:v>816000</x:v>
      </x:c>
      <x:c r="M16" s="12" t="n">
        <x:f>L16*(60/$B$4)*60*24*$D$4</x:f>
        <x:v>35765280000</x:v>
      </x:c>
    </x:row>
    <x:row r="17">
      <x:c r="A17" s="2" t="str">
        <x:v>Optional interface rates</x:v>
      </x:c>
      <x:c r="B17" s="11" t="n">
        <x:v>1</x:v>
      </x:c>
      <x:c r="C17" s="11" t="n">
        <x:v>1</x:v>
      </x:c>
      <x:c r="D17" s="11" t="n">
        <x:v>48</x:v>
      </x:c>
      <x:c r="E17" s="11" t="n">
        <x:v>4</x:v>
      </x:c>
      <x:c r="F17" s="2" t="str">
        <x:v>interfaces / switch</x:v>
      </x:c>
      <x:c r="G17" s="2" t="str">
        <x:v>Bit and packet rates by direction.</x:v>
      </x:c>
      <x:c r="H17" s="12" t="n">
        <x:f>$B17*IF($C17=1,$A$7,1)*$D17*$E17</x:f>
        <x:v>1920</x:v>
      </x:c>
      <x:c r="I17" s="12" t="n">
        <x:f>H17*(60/$B$4)*60*24*$D$4</x:f>
        <x:v>84153600</x:v>
      </x:c>
      <x:c r="J17" s="12" t="n">
        <x:f>$B17*IF($C17=1,$A$8,1)*$D17*$E17</x:f>
        <x:v>19200</x:v>
      </x:c>
      <x:c r="K17" s="12" t="n">
        <x:f>J17*(60/$B$4)*60*24*$D$4</x:f>
        <x:v>841536000</x:v>
      </x:c>
      <x:c r="L17" s="12" t="n">
        <x:f>$B17*IF($C17=1,$A$9,1)*$D17*$E17</x:f>
        <x:v>192000</x:v>
      </x:c>
      <x:c r="M17" s="12" t="n">
        <x:f>L17*(60/$B$4)*60*24*$D$4</x:f>
        <x:v>8415360000</x:v>
      </x:c>
    </x:row>
    <x:row r="18">
      <x:c r="A18" s="2" t="str">
        <x:v>Detailed interface counters</x:v>
      </x:c>
      <x:c r="B18" s="11" t="n">
        <x:v>0</x:v>
      </x:c>
      <x:c r="C18" s="11" t="n">
        <x:v>1</x:v>
      </x:c>
      <x:c r="D18" s="11" t="n">
        <x:v>48</x:v>
      </x:c>
      <x:c r="E18" s="11" t="n">
        <x:v>50</x:v>
      </x:c>
      <x:c r="F18" s="2" t="str">
        <x:v>interfaces x retained counter names</x:v>
      </x:c>
      <x:c r="G18" s="2" t="str">
        <x:v>High-volume row. Tune retained counter names with include/exclude/max_per_interface.</x:v>
      </x:c>
      <x:c r="H18" s="12" t="n">
        <x:f>$B18*IF($C18=1,$A$7,1)*$D18*$E18</x:f>
        <x:v>0</x:v>
      </x:c>
      <x:c r="I18" s="12" t="n">
        <x:f>H18*(60/$B$4)*60*24*$D$4</x:f>
        <x:v>0</x:v>
      </x:c>
      <x:c r="J18" s="12" t="n">
        <x:f>$B18*IF($C18=1,$A$8,1)*$D18*$E18</x:f>
        <x:v>0</x:v>
      </x:c>
      <x:c r="K18" s="12" t="n">
        <x:f>J18*(60/$B$4)*60*24*$D$4</x:f>
        <x:v>0</x:v>
      </x:c>
      <x:c r="L18" s="12" t="n">
        <x:f>$B18*IF($C18=1,$A$9,1)*$D18*$E18</x:f>
        <x:v>0</x:v>
      </x:c>
      <x:c r="M18" s="12" t="n">
        <x:f>L18*(60/$B$4)*60*24*$D$4</x:f>
        <x:v>0</x:v>
      </x:c>
    </x:row>
    <x:row r="19">
      <x:c r="A19" s="2" t="str">
        <x:v>Structured pause frames</x:v>
      </x:c>
      <x:c r="B19" s="11" t="n">
        <x:v>0</x:v>
      </x:c>
      <x:c r="C19" s="11" t="n">
        <x:v>1</x:v>
      </x:c>
      <x:c r="D19" s="11" t="n">
        <x:v>48</x:v>
      </x:c>
      <x:c r="E19" s="11" t="n">
        <x:v>4</x:v>
      </x:c>
      <x:c r="F19" s="2" t="str">
        <x:v>interfaces / switch</x:v>
      </x:c>
      <x:c r="G19" s="2" t="str">
        <x:v>Flow-control pause frame dimensions.</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t="str">
        <x:v>Structured QoS queues</x:v>
      </x:c>
      <x:c r="B20" s="11" t="n">
        <x:v>0</x:v>
      </x:c>
      <x:c r="C20" s="11" t="n">
        <x:v>1</x:v>
      </x:c>
      <x:c r="D20" s="11" t="n">
        <x:v>48</x:v>
      </x:c>
      <x:c r="E20" s="11" t="n">
        <x:v>16</x:v>
      </x:c>
      <x:c r="F20" s="2" t="str">
        <x:v>interfaces x queue/action combos</x:v>
      </x:c>
      <x:c r="G20" s="2" t="str">
        <x:v>Includes IOS XE platform queue stats when enabled.</x:v>
      </x:c>
      <x:c r="H20" s="12" t="n">
        <x:f>$B20*IF($C20=1,$A$7,1)*$D20*$E20</x:f>
        <x:v>0</x:v>
      </x:c>
      <x:c r="I20" s="12" t="n">
        <x:f>H20*(60/$B$4)*60*24*$D$4</x:f>
        <x:v>0</x:v>
      </x:c>
      <x:c r="J20" s="12" t="n">
        <x:f>$B20*IF($C20=1,$A$8,1)*$D20*$E20</x:f>
        <x:v>0</x:v>
      </x:c>
      <x:c r="K20" s="12" t="n">
        <x:f>J20*(60/$B$4)*60*24*$D$4</x:f>
        <x:v>0</x:v>
      </x:c>
      <x:c r="L20" s="12" t="n">
        <x:f>$B20*IF($C20=1,$A$9,1)*$D20*$E20</x:f>
        <x:v>0</x:v>
      </x:c>
      <x:c r="M20" s="12" t="n">
        <x:f>L20*(60/$B$4)*60*24*$D$4</x:f>
        <x:v>0</x:v>
      </x:c>
    </x:row>
    <x:row r="21">
      <x:c r="A21" s="2" t="str">
        <x:v>Structured QoS policies</x:v>
      </x:c>
      <x:c r="B21" s="11" t="n">
        <x:v>0</x:v>
      </x:c>
      <x:c r="C21" s="11" t="n">
        <x:v>1</x:v>
      </x:c>
      <x:c r="D21" s="11" t="n">
        <x:v>48</x:v>
      </x:c>
      <x:c r="E21" s="11" t="n">
        <x:v>12</x:v>
      </x:c>
      <x:c r="F21" s="2" t="str">
        <x:v>interfaces x policy/action combos</x:v>
      </x:c>
      <x:c r="G21" s="2" t="str">
        <x:v>Policy-map class/action/drop dimensions.</x:v>
      </x:c>
      <x:c r="H21" s="12" t="n">
        <x:f>$B21*IF($C21=1,$A$7,1)*$D21*$E21</x:f>
        <x:v>0</x:v>
      </x:c>
      <x:c r="I21" s="12" t="n">
        <x:f>H21*(60/$B$4)*60*24*$D$4</x:f>
        <x:v>0</x:v>
      </x:c>
      <x:c r="J21" s="12" t="n">
        <x:f>$B21*IF($C21=1,$A$8,1)*$D21*$E21</x:f>
        <x:v>0</x:v>
      </x:c>
      <x:c r="K21" s="12" t="n">
        <x:f>J21*(60/$B$4)*60*24*$D$4</x:f>
        <x:v>0</x:v>
      </x:c>
      <x:c r="L21" s="12" t="n">
        <x:f>$B21*IF($C21=1,$A$9,1)*$D21*$E21</x:f>
        <x:v>0</x:v>
      </x:c>
      <x:c r="M21" s="12" t="n">
        <x:f>L21*(60/$B$4)*60*24*$D$4</x:f>
        <x:v>0</x:v>
      </x:c>
    </x:row>
    <x:row r="22">
      <x:c r="A22" s="2" t="str">
        <x:v>L2 topology interface state</x:v>
      </x:c>
      <x:c r="B22" s="11" t="n">
        <x:v>0</x:v>
      </x:c>
      <x:c r="C22" s="11" t="n">
        <x:v>1</x:v>
      </x:c>
      <x:c r="D22" s="11" t="n">
        <x:v>48</x:v>
      </x:c>
      <x:c r="E22" s="11" t="n">
        <x:v>5</x:v>
      </x:c>
      <x:c r="F22" s="2" t="str">
        <x:v>interfaces / switch</x:v>
      </x:c>
      <x:c r="G22" s="2" t="str">
        <x:v>Err-disabled, port-channel, topology neighbor, and related rows.</x:v>
      </x:c>
      <x:c r="H22" s="12" t="n">
        <x:f>$B22*IF($C22=1,$A$7,1)*$D22*$E22</x:f>
        <x:v>0</x:v>
      </x:c>
      <x:c r="I22" s="12" t="n">
        <x:f>H22*(60/$B$4)*60*24*$D$4</x:f>
        <x:v>0</x:v>
      </x:c>
      <x:c r="J22" s="12" t="n">
        <x:f>$B22*IF($C22=1,$A$8,1)*$D22*$E22</x:f>
        <x:v>0</x:v>
      </x:c>
      <x:c r="K22" s="12" t="n">
        <x:f>J22*(60/$B$4)*60*24*$D$4</x:f>
        <x:v>0</x:v>
      </x:c>
      <x:c r="L22" s="12" t="n">
        <x:f>$B22*IF($C22=1,$A$9,1)*$D22*$E22</x:f>
        <x:v>0</x:v>
      </x:c>
      <x:c r="M22" s="12" t="n">
        <x:f>L22*(60/$B$4)*60*24*$D$4</x:f>
        <x:v>0</x:v>
      </x:c>
    </x:row>
    <x:row r="23">
      <x:c r="A23" s="2" t="str">
        <x:v>L2 STP and VLAN metrics</x:v>
      </x:c>
      <x:c r="B23" s="11" t="n">
        <x:v>0</x:v>
      </x:c>
      <x:c r="C23" s="11" t="n">
        <x:v>1</x:v>
      </x:c>
      <x:c r="D23" s="11" t="n">
        <x:v>128</x:v>
      </x:c>
      <x:c r="E23" s="11" t="n">
        <x:v>3</x:v>
      </x:c>
      <x:c r="F23" s="2" t="str">
        <x:v>VLAN/interface combos / switch</x:v>
      </x:c>
      <x:c r="G23" s="2" t="str">
        <x:v>Bound with max_vlans and max_interfaces.</x:v>
      </x:c>
      <x:c r="H23" s="12" t="n">
        <x:f>$B23*IF($C23=1,$A$7,1)*$D23*$E23</x:f>
        <x:v>0</x:v>
      </x:c>
      <x:c r="I23" s="12" t="n">
        <x:f>H23*(60/$B$4)*60*24*$D$4</x:f>
        <x:v>0</x:v>
      </x:c>
      <x:c r="J23" s="12" t="n">
        <x:f>$B23*IF($C23=1,$A$8,1)*$D23*$E23</x:f>
        <x:v>0</x:v>
      </x:c>
      <x:c r="K23" s="12" t="n">
        <x:f>J23*(60/$B$4)*60*24*$D$4</x:f>
        <x:v>0</x:v>
      </x:c>
      <x:c r="L23" s="12" t="n">
        <x:f>$B23*IF($C23=1,$A$9,1)*$D23*$E23</x:f>
        <x:v>0</x:v>
      </x:c>
      <x:c r="M23" s="12" t="n">
        <x:f>L23*(60/$B$4)*60*24*$D$4</x:f>
        <x:v>0</x:v>
      </x:c>
    </x:row>
    <x:row r="24">
      <x:c r="A24" s="2" t="str">
        <x:v>LACP metrics</x:v>
      </x:c>
      <x:c r="B24" s="11" t="n">
        <x:v>0</x:v>
      </x:c>
      <x:c r="C24" s="11" t="n">
        <x:v>1</x:v>
      </x:c>
      <x:c r="D24" s="11" t="n">
        <x:v>8</x:v>
      </x:c>
      <x:c r="E24" s="11" t="n">
        <x:v>5</x:v>
      </x:c>
      <x:c r="F24" s="2" t="str">
        <x:v>LACP members / switch</x:v>
      </x:c>
      <x:c r="G24" s="2" t="str">
        <x:v>Packet and error types by direction.</x:v>
      </x:c>
      <x:c r="H24" s="12" t="n">
        <x:f>$B24*IF($C24=1,$A$7,1)*$D24*$E24</x:f>
        <x:v>0</x:v>
      </x:c>
      <x:c r="I24" s="12" t="n">
        <x:f>H24*(60/$B$4)*60*24*$D$4</x:f>
        <x:v>0</x:v>
      </x:c>
      <x:c r="J24" s="12" t="n">
        <x:f>$B24*IF($C24=1,$A$8,1)*$D24*$E24</x:f>
        <x:v>0</x:v>
      </x:c>
      <x:c r="K24" s="12" t="n">
        <x:f>J24*(60/$B$4)*60*24*$D$4</x:f>
        <x:v>0</x:v>
      </x:c>
      <x:c r="L24" s="12" t="n">
        <x:f>$B24*IF($C24=1,$A$9,1)*$D24*$E24</x:f>
        <x:v>0</x:v>
      </x:c>
      <x:c r="M24" s="12" t="n">
        <x:f>L24*(60/$B$4)*60*24*$D$4</x:f>
        <x:v>0</x:v>
      </x:c>
    </x:row>
    <x:row r="25">
      <x:c r="A25" s="2" t="str">
        <x:v>Transceiver sensors</x:v>
      </x:c>
      <x:c r="B25" s="11" t="n">
        <x:v>0</x:v>
      </x:c>
      <x:c r="C25" s="11" t="n">
        <x:v>1</x:v>
      </x:c>
      <x:c r="D25" s="11" t="n">
        <x:v>32</x:v>
      </x:c>
      <x:c r="E25" s="11" t="n">
        <x:v>5</x:v>
      </x:c>
      <x:c r="F25" s="2" t="str">
        <x:v>optic interfaces / switch</x:v>
      </x:c>
      <x:c r="G25" s="2" t="str">
        <x:v>Sensor, lane, and unit combinations.</x:v>
      </x:c>
      <x:c r="H25" s="12" t="n">
        <x:f>$B25*IF($C25=1,$A$7,1)*$D25*$E25</x:f>
        <x:v>0</x:v>
      </x:c>
      <x:c r="I25" s="12" t="n">
        <x:f>H25*(60/$B$4)*60*24*$D$4</x:f>
        <x:v>0</x:v>
      </x:c>
      <x:c r="J25" s="12" t="n">
        <x:f>$B25*IF($C25=1,$A$8,1)*$D25*$E25</x:f>
        <x:v>0</x:v>
      </x:c>
      <x:c r="K25" s="12" t="n">
        <x:f>J25*(60/$B$4)*60*24*$D$4</x:f>
        <x:v>0</x:v>
      </x:c>
      <x:c r="L25" s="12" t="n">
        <x:f>$B25*IF($C25=1,$A$9,1)*$D25*$E25</x:f>
        <x:v>0</x:v>
      </x:c>
      <x:c r="M25" s="12" t="n">
        <x:f>L25*(60/$B$4)*60*24*$D$4</x:f>
        <x:v>0</x:v>
      </x:c>
    </x:row>
    <x:row r="26">
      <x:c r="A26" s="2" t="str">
        <x:v>Protocol traffic</x:v>
      </x:c>
      <x:c r="B26" s="11" t="n">
        <x:v>0</x:v>
      </x:c>
      <x:c r="C26" s="11" t="n">
        <x:v>1</x:v>
      </x:c>
      <x:c r="D26" s="11" t="n">
        <x:v>60</x:v>
      </x:c>
      <x:c r="E26" s="11" t="n">
        <x:v>1</x:v>
      </x:c>
      <x:c r="F26" s="2" t="str">
        <x:v>protocol dimensions / switch</x:v>
      </x:c>
      <x:c r="G26" s="2" t="str">
        <x:v>Protocol, message, error, drop reason, and direction combinations.</x:v>
      </x:c>
      <x:c r="H26" s="12" t="n">
        <x:f>$B26*IF($C26=1,$A$7,1)*$D26*$E26</x:f>
        <x:v>0</x:v>
      </x:c>
      <x:c r="I26" s="12" t="n">
        <x:f>H26*(60/$B$4)*60*24*$D$4</x:f>
        <x:v>0</x:v>
      </x:c>
      <x:c r="J26" s="12" t="n">
        <x:f>$B26*IF($C26=1,$A$8,1)*$D26*$E26</x:f>
        <x:v>0</x:v>
      </x:c>
      <x:c r="K26" s="12" t="n">
        <x:f>J26*(60/$B$4)*60*24*$D$4</x:f>
        <x:v>0</x:v>
      </x:c>
      <x:c r="L26" s="12" t="n">
        <x:f>$B26*IF($C26=1,$A$9,1)*$D26*$E26</x:f>
        <x:v>0</x:v>
      </x:c>
      <x:c r="M26" s="12" t="n">
        <x:f>L26*(60/$B$4)*60*24*$D$4</x:f>
        <x:v>0</x:v>
      </x:c>
    </x:row>
    <x:row r="27">
      <x:c r="A27" s="2" t="str">
        <x:v>Control-plane process CPU</x:v>
      </x:c>
      <x:c r="B27" s="11" t="n">
        <x:v>0</x:v>
      </x:c>
      <x:c r="C27" s="11" t="n">
        <x:v>1</x:v>
      </x:c>
      <x:c r="D27" s="11" t="n">
        <x:v>10</x:v>
      </x:c>
      <x:c r="E27" s="11" t="n">
        <x:v>1</x:v>
      </x:c>
      <x:c r="F27" s="2" t="str">
        <x:v>process_top_n / switch</x:v>
      </x:c>
      <x:c r="G27" s="2" t="str">
        <x:v>One MTS per retained process/window.</x:v>
      </x:c>
      <x:c r="H27" s="12" t="n">
        <x:f>$B27*IF($C27=1,$A$7,1)*$D27*$E27</x:f>
        <x:v>0</x:v>
      </x:c>
      <x:c r="I27" s="12" t="n">
        <x:f>H27*(60/$B$4)*60*24*$D$4</x:f>
        <x:v>0</x:v>
      </x:c>
      <x:c r="J27" s="12" t="n">
        <x:f>$B27*IF($C27=1,$A$8,1)*$D27*$E27</x:f>
        <x:v>0</x:v>
      </x:c>
      <x:c r="K27" s="12" t="n">
        <x:f>J27*(60/$B$4)*60*24*$D$4</x:f>
        <x:v>0</x:v>
      </x:c>
      <x:c r="L27" s="12" t="n">
        <x:f>$B27*IF($C27=1,$A$9,1)*$D27*$E27</x:f>
        <x:v>0</x:v>
      </x:c>
      <x:c r="M27" s="12" t="n">
        <x:f>L27*(60/$B$4)*60*24*$D$4</x:f>
        <x:v>0</x:v>
      </x:c>
    </x:row>
    <x:row r="28">
      <x:c r="A28" s="2" t="str">
        <x:v>Control-plane CoPP and punt</x:v>
      </x:c>
      <x:c r="B28" s="11" t="n">
        <x:v>0</x:v>
      </x:c>
      <x:c r="C28" s="11" t="n">
        <x:v>1</x:v>
      </x:c>
      <x:c r="D28" s="11" t="n">
        <x:v>32</x:v>
      </x:c>
      <x:c r="E28" s="11" t="n">
        <x:v>1</x:v>
      </x:c>
      <x:c r="F28" s="2" t="str">
        <x:v>class/queue combos / switch</x:v>
      </x:c>
      <x:c r="G28" s="2" t="str">
        <x:v>Class, source, queue, reason, and direction combinations.</x:v>
      </x:c>
      <x:c r="H28" s="12" t="n">
        <x:f>$B28*IF($C28=1,$A$7,1)*$D28*$E28</x:f>
        <x:v>0</x:v>
      </x:c>
      <x:c r="I28" s="12" t="n">
        <x:f>H28*(60/$B$4)*60*24*$D$4</x:f>
        <x:v>0</x:v>
      </x:c>
      <x:c r="J28" s="12" t="n">
        <x:f>$B28*IF($C28=1,$A$8,1)*$D28*$E28</x:f>
        <x:v>0</x:v>
      </x:c>
      <x:c r="K28" s="12" t="n">
        <x:f>J28*(60/$B$4)*60*24*$D$4</x:f>
        <x:v>0</x:v>
      </x:c>
      <x:c r="L28" s="12" t="n">
        <x:f>$B28*IF($C28=1,$A$9,1)*$D28*$E28</x:f>
        <x:v>0</x:v>
      </x:c>
      <x:c r="M28" s="12" t="n">
        <x:f>L28*(60/$B$4)*60*24*$D$4</x:f>
        <x:v>0</x:v>
      </x:c>
    </x:row>
    <x:row r="29">
      <x:c r="A29" s="2" t="str">
        <x:v>Routing and forwarding summaries</x:v>
      </x:c>
      <x:c r="B29" s="11" t="n">
        <x:v>0</x:v>
      </x:c>
      <x:c r="C29" s="11" t="n">
        <x:v>1</x:v>
      </x:c>
      <x:c r="D29" s="11" t="n">
        <x:v>1</x:v>
      </x:c>
      <x:c r="E29" s="11" t="n">
        <x:v>32</x:v>
      </x:c>
      <x:c r="F29" s="2" t="str">
        <x:v>VRFs / switch</x:v>
      </x:c>
      <x:c r="G29" s="2" t="str">
        <x:v>Routes, ARP, FIB, adjacency, and forwarding-drop dimensions.</x:v>
      </x:c>
      <x:c r="H29" s="12" t="n">
        <x:f>$B29*IF($C29=1,$A$7,1)*$D29*$E29</x:f>
        <x:v>0</x:v>
      </x:c>
      <x:c r="I29" s="12" t="n">
        <x:f>H29*(60/$B$4)*60*24*$D$4</x:f>
        <x:v>0</x:v>
      </x:c>
      <x:c r="J29" s="12" t="n">
        <x:f>$B29*IF($C29=1,$A$8,1)*$D29*$E29</x:f>
        <x:v>0</x:v>
      </x:c>
      <x:c r="K29" s="12" t="n">
        <x:f>J29*(60/$B$4)*60*24*$D$4</x:f>
        <x:v>0</x:v>
      </x:c>
      <x:c r="L29" s="12" t="n">
        <x:f>$B29*IF($C29=1,$A$9,1)*$D29*$E29</x:f>
        <x:v>0</x:v>
      </x:c>
      <x:c r="M29" s="12" t="n">
        <x:f>L29*(60/$B$4)*60*24*$D$4</x:f>
        <x:v>0</x:v>
      </x:c>
    </x:row>
    <x:row r="30">
      <x:c r="A30" s="2" t="str">
        <x:v>Routing neighbors</x:v>
      </x:c>
      <x:c r="B30" s="11" t="n">
        <x:v>0</x:v>
      </x:c>
      <x:c r="C30" s="11" t="n">
        <x:v>1</x:v>
      </x:c>
      <x:c r="D30" s="11" t="n">
        <x:v>20</x:v>
      </x:c>
      <x:c r="E30" s="11" t="n">
        <x:v>2</x:v>
      </x:c>
      <x:c r="F30" s="2" t="str">
        <x:v>neighbors / switch</x:v>
      </x:c>
      <x:c r="G30" s="2" t="str">
        <x:v>Neighbor state and prefix metrics.</x:v>
      </x:c>
      <x:c r="H30" s="12" t="n">
        <x:f>$B30*IF($C30=1,$A$7,1)*$D30*$E30</x:f>
        <x:v>0</x:v>
      </x:c>
      <x:c r="I30" s="12" t="n">
        <x:f>H30*(60/$B$4)*60*24*$D$4</x:f>
        <x:v>0</x:v>
      </x:c>
      <x:c r="J30" s="12" t="n">
        <x:f>$B30*IF($C30=1,$A$8,1)*$D30*$E30</x:f>
        <x:v>0</x:v>
      </x:c>
      <x:c r="K30" s="12" t="n">
        <x:f>J30*(60/$B$4)*60*24*$D$4</x:f>
        <x:v>0</x:v>
      </x:c>
      <x:c r="L30" s="12" t="n">
        <x:f>$B30*IF($C30=1,$A$9,1)*$D30*$E30</x:f>
        <x:v>0</x:v>
      </x:c>
      <x:c r="M30" s="12" t="n">
        <x:f>L30*(60/$B$4)*60*24*$D$4</x:f>
        <x:v>0</x:v>
      </x:c>
    </x:row>
    <x:row r="31">
      <x:c r="A31" s="2" t="str">
        <x:v>Hardware health</x:v>
      </x:c>
      <x:c r="B31" s="11" t="n">
        <x:v>0</x:v>
      </x:c>
      <x:c r="C31" s="11" t="n">
        <x:v>1</x:v>
      </x:c>
      <x:c r="D31" s="11" t="n">
        <x:v>40</x:v>
      </x:c>
      <x:c r="E31" s="11" t="n">
        <x:v>1</x:v>
      </x:c>
      <x:c r="F31" s="2" t="str">
        <x:v>components/sensors / switch</x:v>
      </x:c>
      <x:c r="G31" s="2" t="str">
        <x:v>Fan, power, module, platform, and temperature components.</x:v>
      </x:c>
      <x:c r="H31" s="12" t="n">
        <x:f>$B31*IF($C31=1,$A$7,1)*$D31*$E31</x:f>
        <x:v>0</x:v>
      </x:c>
      <x:c r="I31" s="12" t="n">
        <x:f>H31*(60/$B$4)*60*24*$D$4</x:f>
        <x:v>0</x:v>
      </x:c>
      <x:c r="J31" s="12" t="n">
        <x:f>$B31*IF($C31=1,$A$8,1)*$D31*$E31</x:f>
        <x:v>0</x:v>
      </x:c>
      <x:c r="K31" s="12" t="n">
        <x:f>J31*(60/$B$4)*60*24*$D$4</x:f>
        <x:v>0</x:v>
      </x:c>
      <x:c r="L31" s="12" t="n">
        <x:f>$B31*IF($C31=1,$A$9,1)*$D31*$E31</x:f>
        <x:v>0</x:v>
      </x:c>
      <x:c r="M31" s="12" t="n">
        <x:f>L31*(60/$B$4)*60*24*$D$4</x:f>
        <x:v>0</x:v>
      </x:c>
    </x:row>
    <x:row r="32">
      <x:c r="A32" s="2" t="str">
        <x:v>IOS XE QFP rates/utilization</x:v>
      </x:c>
      <x:c r="B32" s="11" t="n">
        <x:v>0</x:v>
      </x:c>
      <x:c r="C32" s="11" t="n">
        <x:v>1</x:v>
      </x:c>
      <x:c r="D32" s="11" t="n">
        <x:v>12</x:v>
      </x:c>
      <x:c r="E32" s="11" t="n">
        <x:v>1</x:v>
      </x:c>
      <x:c r="F32" s="2" t="str">
        <x:v>datapath combos / device</x:v>
      </x:c>
      <x:c r="G32" s="2" t="str">
        <x:v>Enable for IOS XE router/edge platforms that expose QFP dataplane commands.</x:v>
      </x:c>
      <x:c r="H32" s="12" t="n">
        <x:f>$B32*IF($C32=1,$A$7,1)*$D32*$E32</x:f>
        <x:v>0</x:v>
      </x:c>
      <x:c r="I32" s="12" t="n">
        <x:f>H32*(60/$B$4)*60*24*$D$4</x:f>
        <x:v>0</x:v>
      </x:c>
      <x:c r="J32" s="12" t="n">
        <x:f>$B32*IF($C32=1,$A$8,1)*$D32*$E32</x:f>
        <x:v>0</x:v>
      </x:c>
      <x:c r="K32" s="12" t="n">
        <x:f>J32*(60/$B$4)*60*24*$D$4</x:f>
        <x:v>0</x:v>
      </x:c>
      <x:c r="L32" s="12" t="n">
        <x:f>$B32*IF($C32=1,$A$9,1)*$D32*$E32</x:f>
        <x:v>0</x:v>
      </x:c>
      <x:c r="M32" s="12" t="n">
        <x:f>L32*(60/$B$4)*60*24*$D$4</x:f>
        <x:v>0</x:v>
      </x:c>
    </x:row>
    <x:row r="33">
      <x:c r="A33" s="2" t="str">
        <x:v>IOS XE QFP drops</x:v>
      </x:c>
      <x:c r="B33" s="11" t="n">
        <x:v>0</x:v>
      </x:c>
      <x:c r="C33" s="11" t="n">
        <x:v>1</x:v>
      </x:c>
      <x:c r="D33" s="11" t="n">
        <x:v>50</x:v>
      </x:c>
      <x:c r="E33" s="11" t="n">
        <x:v>2</x:v>
      </x:c>
      <x:c r="F33" s="2" t="str">
        <x:v>drop/interface combos / device</x:v>
      </x:c>
      <x:c r="G33" s="2" t="str">
        <x:v>QFP packet drops, byte drops, and interface drops by reason/source/interface.</x:v>
      </x:c>
      <x:c r="H33" s="12" t="n">
        <x:f>$B33*IF($C33=1,$A$7,1)*$D33*$E33</x:f>
        <x:v>0</x:v>
      </x:c>
      <x:c r="I33" s="12" t="n">
        <x:f>H33*(60/$B$4)*60*24*$D$4</x:f>
        <x:v>0</x:v>
      </x:c>
      <x:c r="J33" s="12" t="n">
        <x:f>$B33*IF($C33=1,$A$8,1)*$D33*$E33</x:f>
        <x:v>0</x:v>
      </x:c>
      <x:c r="K33" s="12" t="n">
        <x:f>J33*(60/$B$4)*60*24*$D$4</x:f>
        <x:v>0</x:v>
      </x:c>
      <x:c r="L33" s="12" t="n">
        <x:f>$B33*IF($C33=1,$A$9,1)*$D33*$E33</x:f>
        <x:v>0</x:v>
      </x:c>
      <x:c r="M33" s="12" t="n">
        <x:f>L33*(60/$B$4)*60*24*$D$4</x:f>
        <x:v>0</x:v>
      </x:c>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8.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Meraki Devices Scenarios</x:v>
      </x:c>
      <x:c r="B1" s="4" t="str">
        <x:v>Meraki Devices Scenarios</x:v>
      </x:c>
      <x:c r="C1" s="4" t="str">
        <x:v>Meraki Devices Scenarios</x:v>
      </x:c>
      <x:c r="D1" s="4" t="str">
        <x:v>Meraki Devices Scenarios</x:v>
      </x:c>
      <x:c r="E1" s="4" t="str">
        <x:v>Meraki Devices Scenarios</x:v>
      </x:c>
      <x:c r="F1" s="4" t="str">
        <x:v>Meraki Devices Scenarios</x:v>
      </x:c>
      <x:c r="G1" s="4" t="str">
        <x:v>Meraki Devices Scenarios</x:v>
      </x:c>
      <x:c r="H1" s="4" t="str">
        <x:v>Meraki Devices Scenarios</x:v>
      </x:c>
      <x:c r="I1" s="4" t="str">
        <x:v>Meraki Devices Scenarios</x:v>
      </x:c>
      <x:c r="J1" s="4" t="str">
        <x:v>Meraki Devices Scenarios</x:v>
      </x:c>
      <x:c r="K1" s="4" t="str">
        <x:v>Meraki Devices Scenarios</x:v>
      </x:c>
      <x:c r="L1" s="4" t="str">
        <x:v>Meraki Devices Scenarios</x:v>
      </x:c>
      <x:c r="M1" s="4" t="str">
        <x:v>Meraki Devices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Meraki Dashboard API profile. Switch-oriented rows are enabled; wireless, VPN, appliance, and optic rows are editable and off by default.</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SUM(H13:H23)</x:f>
        <x:v>4266</x:v>
      </x:c>
      <x:c r="C7" s="12" t="n">
        <x:f>B7*(60/$B$4)</x:f>
        <x:v>4266</x:v>
      </x:c>
      <x:c r="D7" s="12" t="n">
        <x:f>C7*60*24</x:f>
        <x:v>6143040</x:v>
      </x:c>
      <x:c r="E7" s="12" t="n">
        <x:f>D7*$D$4</x:f>
        <x:v>186978780</x:v>
      </x:c>
      <x:c r="F7" s="2"/>
      <x:c r="G7" s="2"/>
      <x:c r="H7" s="2"/>
      <x:c r="I7" s="2"/>
      <x:c r="J7" s="2"/>
      <x:c r="K7" s="2"/>
      <x:c r="L7" s="2"/>
      <x:c r="M7" s="2"/>
    </x:row>
    <x:row r="8">
      <x:c r="A8" s="11" t="n">
        <x:v>100</x:v>
      </x:c>
      <x:c r="B8" s="12" t="n">
        <x:f>SUM(J13:J23)</x:f>
        <x:v>42336</x:v>
      </x:c>
      <x:c r="C8" s="12" t="n">
        <x:f>B8*(60/$B$4)</x:f>
        <x:v>42336</x:v>
      </x:c>
      <x:c r="D8" s="12" t="n">
        <x:f>C8*60*24</x:f>
        <x:v>60963840</x:v>
      </x:c>
      <x:c r="E8" s="12" t="n">
        <x:f>D8*$D$4</x:f>
        <x:v>1855586880</x:v>
      </x:c>
      <x:c r="F8" s="2"/>
      <x:c r="G8" s="2"/>
      <x:c r="H8" s="2"/>
      <x:c r="I8" s="2"/>
      <x:c r="J8" s="2"/>
      <x:c r="K8" s="2"/>
      <x:c r="L8" s="2"/>
      <x:c r="M8" s="2"/>
    </x:row>
    <x:row r="9">
      <x:c r="A9" s="11" t="n">
        <x:v>1000</x:v>
      </x:c>
      <x:c r="B9" s="12" t="n">
        <x:f>SUM(L13:L23)</x:f>
        <x:v>423036</x:v>
      </x:c>
      <x:c r="C9" s="12" t="n">
        <x:f>B9*(60/$B$4)</x:f>
        <x:v>423036</x:v>
      </x:c>
      <x:c r="D9" s="12" t="n">
        <x:f>C9*60*24</x:f>
        <x:v>609171840</x:v>
      </x:c>
      <x:c r="E9" s="12" t="n">
        <x:f>D9*$D$4</x:f>
        <x:v>18541667880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 request health</x:v>
      </x:c>
      <x:c r="B13" s="11" t="n">
        <x:v>1</x:v>
      </x:c>
      <x:c r="C13" s="11" t="n">
        <x:v>0</x:v>
      </x:c>
      <x:c r="D13" s="11" t="n">
        <x:v>12</x:v>
      </x:c>
      <x:c r="E13" s="11" t="n">
        <x:v>3</x:v>
      </x:c>
      <x:c r="F13" s="2" t="str">
        <x:v>API operation families</x:v>
      </x:c>
      <x:c r="G13" s="2" t="str">
        <x:v>Fixed per estate by default. Increase operation families if more endpoint groups are enabled.</x:v>
      </x:c>
      <x:c r="H13" s="12" t="n">
        <x:f>$B13*IF($C13=1,$A$7,1)*$D13*$E13</x:f>
        <x:v>36</x:v>
      </x:c>
      <x:c r="I13" s="12" t="n">
        <x:f>H13*(60/$B$4)*60*24*$D$4</x:f>
        <x:v>1577880</x:v>
      </x:c>
      <x:c r="J13" s="12" t="n">
        <x:f>$B13*IF($C13=1,$A$8,1)*$D13*$E13</x:f>
        <x:v>36</x:v>
      </x:c>
      <x:c r="K13" s="12" t="n">
        <x:f>J13*(60/$B$4)*60*24*$D$4</x:f>
        <x:v>1577880</x:v>
      </x:c>
      <x:c r="L13" s="12" t="n">
        <x:f>$B13*IF($C13=1,$A$9,1)*$D13*$E13</x:f>
        <x:v>36</x:v>
      </x:c>
      <x:c r="M13" s="12" t="n">
        <x:f>L13*(60/$B$4)*60*24*$D$4</x:f>
        <x:v>1577880</x:v>
      </x:c>
    </x:row>
    <x:row r="14">
      <x:c r="A14" s="2" t="str">
        <x:v>Device inventory/status</x:v>
      </x:c>
      <x:c r="B14" s="11" t="n">
        <x:v>1</x:v>
      </x:c>
      <x:c r="C14" s="11" t="n">
        <x:v>1</x:v>
      </x:c>
      <x:c r="D14" s="11" t="n">
        <x:v>1</x:v>
      </x:c>
      <x:c r="E14" s="11" t="n">
        <x:v>3</x:v>
      </x:c>
      <x:c r="F14" s="2" t="str">
        <x:v>devices</x:v>
      </x:c>
      <x:c r="G14" s="2" t="str">
        <x:v>Device status plus parity device-up and memory utilization when available.</x:v>
      </x:c>
      <x:c r="H14" s="12" t="n">
        <x:f>$B14*IF($C14=1,$A$7,1)*$D14*$E14</x:f>
        <x:v>30</x:v>
      </x:c>
      <x:c r="I14" s="12" t="n">
        <x:f>H14*(60/$B$4)*60*24*$D$4</x:f>
        <x:v>1314900</x:v>
      </x:c>
      <x:c r="J14" s="12" t="n">
        <x:f>$B14*IF($C14=1,$A$8,1)*$D14*$E14</x:f>
        <x:v>300</x:v>
      </x:c>
      <x:c r="K14" s="12" t="n">
        <x:f>J14*(60/$B$4)*60*24*$D$4</x:f>
        <x:v>13149000</x:v>
      </x:c>
      <x:c r="L14" s="12" t="n">
        <x:f>$B14*IF($C14=1,$A$9,1)*$D14*$E14</x:f>
        <x:v>3000</x:v>
      </x:c>
      <x:c r="M14" s="12" t="n">
        <x:f>L14*(60/$B$4)*60*24*$D$4</x:f>
        <x:v>131490000</x:v>
      </x:c>
    </x:row>
    <x:row r="15">
      <x:c r="A15" s="2" t="str">
        <x:v>Uplinks and WAN quality</x:v>
      </x:c>
      <x:c r="B15" s="11" t="n">
        <x:v>1</x:v>
      </x:c>
      <x:c r="C15" s="11" t="n">
        <x:v>1</x:v>
      </x:c>
      <x:c r="D15" s="11" t="n">
        <x:v>2</x:v>
      </x:c>
      <x:c r="E15" s="11" t="n">
        <x:v>5</x:v>
      </x:c>
      <x:c r="F15" s="2" t="str">
        <x:v>uplinks / device</x:v>
      </x:c>
      <x:c r="G15" s="2" t="str">
        <x:v>Status, loss, latency, and cellular signal when present.</x:v>
      </x:c>
      <x:c r="H15" s="12" t="n">
        <x:f>$B15*IF($C15=1,$A$7,1)*$D15*$E15</x:f>
        <x:v>100</x:v>
      </x:c>
      <x:c r="I15" s="12" t="n">
        <x:f>H15*(60/$B$4)*60*24*$D$4</x:f>
        <x:v>4383000</x:v>
      </x:c>
      <x:c r="J15" s="12" t="n">
        <x:f>$B15*IF($C15=1,$A$8,1)*$D15*$E15</x:f>
        <x:v>1000</x:v>
      </x:c>
      <x:c r="K15" s="12" t="n">
        <x:f>J15*(60/$B$4)*60*24*$D$4</x:f>
        <x:v>43830000</x:v>
      </x:c>
      <x:c r="L15" s="12" t="n">
        <x:f>$B15*IF($C15=1,$A$9,1)*$D15*$E15</x:f>
        <x:v>10000</x:v>
      </x:c>
      <x:c r="M15" s="12" t="n">
        <x:f>L15*(60/$B$4)*60*24*$D$4</x:f>
        <x:v>438300000</x:v>
      </x:c>
    </x:row>
    <x:row r="16">
      <x:c r="A16" s="2" t="str">
        <x:v>Switch ports</x:v>
      </x:c>
      <x:c r="B16" s="11" t="n">
        <x:v>1</x:v>
      </x:c>
      <x:c r="C16" s="11" t="n">
        <x:v>1</x:v>
      </x:c>
      <x:c r="D16" s="11" t="n">
        <x:v>48</x:v>
      </x:c>
      <x:c r="E16" s="11" t="n">
        <x:v>8</x:v>
      </x:c>
      <x:c r="F16" s="2" t="str">
        <x:v>ports / Meraki switch</x:v>
      </x:c>
      <x:c r="G16" s="2" t="str">
        <x:v>Switch-oriented default. Set units lower or disable if modeling non-switch Meraki estates.</x:v>
      </x:c>
      <x:c r="H16" s="12" t="n">
        <x:f>$B16*IF($C16=1,$A$7,1)*$D16*$E16</x:f>
        <x:v>3840</x:v>
      </x:c>
      <x:c r="I16" s="12" t="n">
        <x:f>H16*(60/$B$4)*60*24*$D$4</x:f>
        <x:v>168307200</x:v>
      </x:c>
      <x:c r="J16" s="12" t="n">
        <x:f>$B16*IF($C16=1,$A$8,1)*$D16*$E16</x:f>
        <x:v>38400</x:v>
      </x:c>
      <x:c r="K16" s="12" t="n">
        <x:f>J16*(60/$B$4)*60*24*$D$4</x:f>
        <x:v>1683072000</x:v>
      </x:c>
      <x:c r="L16" s="12" t="n">
        <x:f>$B16*IF($C16=1,$A$9,1)*$D16*$E16</x:f>
        <x:v>384000</x:v>
      </x:c>
      <x:c r="M16" s="12" t="n">
        <x:f>L16*(60/$B$4)*60*24*$D$4</x:f>
        <x:v>16830720000</x:v>
      </x:c>
    </x:row>
    <x:row r="17">
      <x:c r="A17" s="2" t="str">
        <x:v>Wireless AP health</x:v>
      </x:c>
      <x:c r="B17" s="11" t="n">
        <x:v>0</x:v>
      </x:c>
      <x:c r="C17" s="11" t="n">
        <x:v>1</x:v>
      </x:c>
      <x:c r="D17" s="11" t="n">
        <x:v>8</x:v>
      </x:c>
      <x:c r="E17" s="11" t="n">
        <x:v>1</x:v>
      </x:c>
      <x:c r="F17" s="2" t="str">
        <x:v>radio/status combos / AP</x:v>
      </x:c>
      <x:c r="G17" s="2" t="str">
        <x:v>Client count, channel utilization, and wireless packet loss dimensions.</x:v>
      </x:c>
      <x:c r="H17" s="12" t="n">
        <x:f>$B17*IF($C17=1,$A$7,1)*$D17*$E17</x:f>
        <x:v>0</x:v>
      </x:c>
      <x:c r="I17" s="12" t="n">
        <x:f>H17*(60/$B$4)*60*24*$D$4</x:f>
        <x:v>0</x:v>
      </x:c>
      <x:c r="J17" s="12" t="n">
        <x:f>$B17*IF($C17=1,$A$8,1)*$D17*$E17</x:f>
        <x:v>0</x:v>
      </x:c>
      <x:c r="K17" s="12" t="n">
        <x:f>J17*(60/$B$4)*60*24*$D$4</x:f>
        <x:v>0</x:v>
      </x:c>
      <x:c r="L17" s="12" t="n">
        <x:f>$B17*IF($C17=1,$A$9,1)*$D17*$E17</x:f>
        <x:v>0</x:v>
      </x:c>
      <x:c r="M17" s="12" t="n">
        <x:f>L17*(60/$B$4)*60*24*$D$4</x:f>
        <x:v>0</x:v>
      </x:c>
    </x:row>
    <x:row r="18">
      <x:c r="A18" s="2" t="str">
        <x:v>Wireless SSID/BSS state</x:v>
      </x:c>
      <x:c r="B18" s="11" t="n">
        <x:v>0</x:v>
      </x:c>
      <x:c r="C18" s="11" t="n">
        <x:v>1</x:v>
      </x:c>
      <x:c r="D18" s="11" t="n">
        <x:v>8</x:v>
      </x:c>
      <x:c r="E18" s="11" t="n">
        <x:v>1</x:v>
      </x:c>
      <x:c r="F18" s="2" t="str">
        <x:v>BSS / AP</x:v>
      </x:c>
      <x:c r="G18" s="2" t="str">
        <x:v>SSID status by SSID, BSSID, band, and radio.</x:v>
      </x:c>
      <x:c r="H18" s="12" t="n">
        <x:f>$B18*IF($C18=1,$A$7,1)*$D18*$E18</x:f>
        <x:v>0</x:v>
      </x:c>
      <x:c r="I18" s="12" t="n">
        <x:f>H18*(60/$B$4)*60*24*$D$4</x:f>
        <x:v>0</x:v>
      </x:c>
      <x:c r="J18" s="12" t="n">
        <x:f>$B18*IF($C18=1,$A$8,1)*$D18*$E18</x:f>
        <x:v>0</x:v>
      </x:c>
      <x:c r="K18" s="12" t="n">
        <x:f>J18*(60/$B$4)*60*24*$D$4</x:f>
        <x:v>0</x:v>
      </x:c>
      <x:c r="L18" s="12" t="n">
        <x:f>$B18*IF($C18=1,$A$9,1)*$D18*$E18</x:f>
        <x:v>0</x:v>
      </x:c>
      <x:c r="M18" s="12" t="n">
        <x:f>L18*(60/$B$4)*60*24*$D$4</x:f>
        <x:v>0</x:v>
      </x:c>
    </x:row>
    <x:row r="19">
      <x:c r="A19" s="2" t="str">
        <x:v>VPN peers</x:v>
      </x:c>
      <x:c r="B19" s="11" t="n">
        <x:v>0</x:v>
      </x:c>
      <x:c r="C19" s="11" t="n">
        <x:v>1</x:v>
      </x:c>
      <x:c r="D19" s="11" t="n">
        <x:v>5</x:v>
      </x:c>
      <x:c r="E19" s="11" t="n">
        <x:v>7</x:v>
      </x:c>
      <x:c r="F19" s="2" t="str">
        <x:v>VPN peers / network</x:v>
      </x:c>
      <x:c r="G19" s="2" t="str">
        <x:v>Status, usage, latency, loss, jitter, and MOS.</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t="str">
        <x:v>Power modules</x:v>
      </x:c>
      <x:c r="B20" s="11" t="n">
        <x:v>1</x:v>
      </x:c>
      <x:c r="C20" s="11" t="n">
        <x:v>1</x:v>
      </x:c>
      <x:c r="D20" s="11" t="n">
        <x:v>2</x:v>
      </x:c>
      <x:c r="E20" s="11" t="n">
        <x:v>1</x:v>
      </x:c>
      <x:c r="F20" s="2" t="str">
        <x:v>modules / device</x:v>
      </x:c>
      <x:c r="G20" s="2" t="str">
        <x:v>Power module status by slot/serial/model/status.</x:v>
      </x:c>
      <x:c r="H20" s="12" t="n">
        <x:f>$B20*IF($C20=1,$A$7,1)*$D20*$E20</x:f>
        <x:v>20</x:v>
      </x:c>
      <x:c r="I20" s="12" t="n">
        <x:f>H20*(60/$B$4)*60*24*$D$4</x:f>
        <x:v>876600</x:v>
      </x:c>
      <x:c r="J20" s="12" t="n">
        <x:f>$B20*IF($C20=1,$A$8,1)*$D20*$E20</x:f>
        <x:v>200</x:v>
      </x:c>
      <x:c r="K20" s="12" t="n">
        <x:f>J20*(60/$B$4)*60*24*$D$4</x:f>
        <x:v>8766000</x:v>
      </x:c>
      <x:c r="L20" s="12" t="n">
        <x:f>$B20*IF($C20=1,$A$9,1)*$D20*$E20</x:f>
        <x:v>2000</x:v>
      </x:c>
      <x:c r="M20" s="12" t="n">
        <x:f>L20*(60/$B$4)*60*24*$D$4</x:f>
        <x:v>87660000</x:v>
      </x:c>
    </x:row>
    <x:row r="21">
      <x:c r="A21" s="2" t="str">
        <x:v>Topology neighbors</x:v>
      </x:c>
      <x:c r="B21" s="11" t="n">
        <x:v>1</x:v>
      </x:c>
      <x:c r="C21" s="11" t="n">
        <x:v>1</x:v>
      </x:c>
      <x:c r="D21" s="11" t="n">
        <x:v>24</x:v>
      </x:c>
      <x:c r="E21" s="11" t="n">
        <x:v>1</x:v>
      </x:c>
      <x:c r="F21" s="2" t="str">
        <x:v>neighbor links / switch</x:v>
      </x:c>
      <x:c r="G21" s="2" t="str">
        <x:v>Topology neighbor info from Dashboard switch topology discovery.</x:v>
      </x:c>
      <x:c r="H21" s="12" t="n">
        <x:f>$B21*IF($C21=1,$A$7,1)*$D21*$E21</x:f>
        <x:v>240</x:v>
      </x:c>
      <x:c r="I21" s="12" t="n">
        <x:f>H21*(60/$B$4)*60*24*$D$4</x:f>
        <x:v>10519200</x:v>
      </x:c>
      <x:c r="J21" s="12" t="n">
        <x:f>$B21*IF($C21=1,$A$8,1)*$D21*$E21</x:f>
        <x:v>2400</x:v>
      </x:c>
      <x:c r="K21" s="12" t="n">
        <x:f>J21*(60/$B$4)*60*24*$D$4</x:f>
        <x:v>105192000</x:v>
      </x:c>
      <x:c r="L21" s="12" t="n">
        <x:f>$B21*IF($C21=1,$A$9,1)*$D21*$E21</x:f>
        <x:v>24000</x:v>
      </x:c>
      <x:c r="M21" s="12" t="n">
        <x:f>L21*(60/$B$4)*60*24*$D$4</x:f>
        <x:v>1051920000</x:v>
      </x:c>
    </x:row>
    <x:row r="22">
      <x:c r="A22" s="2" t="str">
        <x:v>Transceiver sensors</x:v>
      </x:c>
      <x:c r="B22" s="11" t="n">
        <x:v>0</x:v>
      </x:c>
      <x:c r="C22" s="11" t="n">
        <x:v>1</x:v>
      </x:c>
      <x:c r="D22" s="11" t="n">
        <x:v>24</x:v>
      </x:c>
      <x:c r="E22" s="11" t="n">
        <x:v>5</x:v>
      </x:c>
      <x:c r="F22" s="2" t="str">
        <x:v>optic ports / device</x:v>
      </x:c>
      <x:c r="G22" s="2" t="str">
        <x:v>Sensor/lane/unit combinations from transceiver readings.</x:v>
      </x:c>
      <x:c r="H22" s="12" t="n">
        <x:f>$B22*IF($C22=1,$A$7,1)*$D22*$E22</x:f>
        <x:v>0</x:v>
      </x:c>
      <x:c r="I22" s="12" t="n">
        <x:f>H22*(60/$B$4)*60*24*$D$4</x:f>
        <x:v>0</x:v>
      </x:c>
      <x:c r="J22" s="12" t="n">
        <x:f>$B22*IF($C22=1,$A$8,1)*$D22*$E22</x:f>
        <x:v>0</x:v>
      </x:c>
      <x:c r="K22" s="12" t="n">
        <x:f>J22*(60/$B$4)*60*24*$D$4</x:f>
        <x:v>0</x:v>
      </x:c>
      <x:c r="L22" s="12" t="n">
        <x:f>$B22*IF($C22=1,$A$9,1)*$D22*$E22</x:f>
        <x:v>0</x:v>
      </x:c>
      <x:c r="M22" s="12" t="n">
        <x:f>L22*(60/$B$4)*60*24*$D$4</x:f>
        <x:v>0</x:v>
      </x:c>
    </x:row>
    <x:row r="23">
      <x:c r="A23" s="2" t="str">
        <x:v>Appliance performance</x:v>
      </x:c>
      <x:c r="B23" s="11" t="n">
        <x:v>0</x:v>
      </x:c>
      <x:c r="C23" s="11" t="n">
        <x:v>1</x:v>
      </x:c>
      <x:c r="D23" s="11" t="n">
        <x:v>1</x:v>
      </x:c>
      <x:c r="E23" s="11" t="n">
        <x:v>1</x:v>
      </x:c>
      <x:c r="F23" s="2" t="str">
        <x:v>appliances</x:v>
      </x:c>
      <x:c r="G23" s="2" t="str">
        <x:v>MX appliance performance score.</x:v>
      </x:c>
      <x:c r="H23" s="12" t="n">
        <x:f>$B23*IF($C23=1,$A$7,1)*$D23*$E23</x:f>
        <x:v>0</x:v>
      </x:c>
      <x:c r="I23" s="12" t="n">
        <x:f>H23*(60/$B$4)*60*24*$D$4</x:f>
        <x:v>0</x:v>
      </x:c>
      <x:c r="J23" s="12" t="n">
        <x:f>$B23*IF($C23=1,$A$8,1)*$D23*$E23</x:f>
        <x:v>0</x:v>
      </x:c>
      <x:c r="K23" s="12" t="n">
        <x:f>J23*(60/$B$4)*60*24*$D$4</x:f>
        <x:v>0</x:v>
      </x:c>
      <x:c r="L23" s="12" t="n">
        <x:f>$B23*IF($C23=1,$A$9,1)*$D23*$E23</x:f>
        <x:v>0</x:v>
      </x:c>
      <x:c r="M23" s="12" t="n">
        <x:f>L23*(60/$B$4)*60*24*$D$4</x:f>
        <x:v>0</x:v>
      </x:c>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9.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Intersight Accounts Scenarios</x:v>
      </x:c>
      <x:c r="B1" s="4" t="str">
        <x:v>Intersight Accounts Scenarios</x:v>
      </x:c>
      <x:c r="C1" s="4" t="str">
        <x:v>Intersight Accounts Scenarios</x:v>
      </x:c>
      <x:c r="D1" s="4" t="str">
        <x:v>Intersight Accounts Scenarios</x:v>
      </x:c>
      <x:c r="E1" s="4" t="str">
        <x:v>Intersight Accounts Scenarios</x:v>
      </x:c>
      <x:c r="F1" s="4" t="str">
        <x:v>Intersight Accounts Scenarios</x:v>
      </x:c>
      <x:c r="G1" s="4" t="str">
        <x:v>Intersight Accounts Scenarios</x:v>
      </x:c>
      <x:c r="H1" s="4" t="str">
        <x:v>Intersight Accounts Scenarios</x:v>
      </x:c>
      <x:c r="I1" s="4" t="str">
        <x:v>Intersight Accounts Scenarios</x:v>
      </x:c>
      <x:c r="J1" s="4" t="str">
        <x:v>Intersight Accounts Scenarios</x:v>
      </x:c>
      <x:c r="K1" s="4" t="str">
        <x:v>Intersight Accounts Scenarios</x:v>
      </x:c>
      <x:c r="L1" s="4" t="str">
        <x:v>Intersight Accounts Scenarios</x:v>
      </x:c>
      <x:c r="M1" s="4" t="str">
        <x:v>Intersight Accounts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Intersight API profile with inventory, incidents/events, audit counts, resource fields, and telemetry groups separated for tuning.</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SUM(H13:H19)</x:f>
        <x:v>652</x:v>
      </x:c>
      <x:c r="C7" s="12" t="n">
        <x:f>B7*(60/$B$4)</x:f>
        <x:v>652</x:v>
      </x:c>
      <x:c r="D7" s="12" t="n">
        <x:f>C7*60*24</x:f>
        <x:v>938880</x:v>
      </x:c>
      <x:c r="E7" s="12" t="n">
        <x:f>D7*$D$4</x:f>
        <x:v>28577160</x:v>
      </x:c>
      <x:c r="F7" s="2"/>
      <x:c r="G7" s="2"/>
      <x:c r="H7" s="2"/>
      <x:c r="I7" s="2"/>
      <x:c r="J7" s="2"/>
      <x:c r="K7" s="2"/>
      <x:c r="L7" s="2"/>
      <x:c r="M7" s="2"/>
    </x:row>
    <x:row r="8">
      <x:c r="A8" s="11" t="n">
        <x:v>100</x:v>
      </x:c>
      <x:c r="B8" s="12" t="n">
        <x:f>SUM(J13:J19)</x:f>
        <x:v>5872</x:v>
      </x:c>
      <x:c r="C8" s="12" t="n">
        <x:f>B8*(60/$B$4)</x:f>
        <x:v>5872</x:v>
      </x:c>
      <x:c r="D8" s="12" t="n">
        <x:f>C8*60*24</x:f>
        <x:v>8455680</x:v>
      </x:c>
      <x:c r="E8" s="12" t="n">
        <x:f>D8*$D$4</x:f>
        <x:v>257369760</x:v>
      </x:c>
      <x:c r="F8" s="2"/>
      <x:c r="G8" s="2"/>
      <x:c r="H8" s="2"/>
      <x:c r="I8" s="2"/>
      <x:c r="J8" s="2"/>
      <x:c r="K8" s="2"/>
      <x:c r="L8" s="2"/>
      <x:c r="M8" s="2"/>
    </x:row>
    <x:row r="9">
      <x:c r="A9" s="11" t="n">
        <x:v>1000</x:v>
      </x:c>
      <x:c r="B9" s="12" t="n">
        <x:f>SUM(L13:L19)</x:f>
        <x:v>58072</x:v>
      </x:c>
      <x:c r="C9" s="12" t="n">
        <x:f>B9*(60/$B$4)</x:f>
        <x:v>58072</x:v>
      </x:c>
      <x:c r="D9" s="12" t="n">
        <x:f>C9*60*24</x:f>
        <x:v>83623680</x:v>
      </x:c>
      <x:c r="E9" s="12" t="n">
        <x:f>D9*$D$4</x:f>
        <x:v>2545295760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 and scrape health</x:v>
      </x:c>
      <x:c r="B13" s="11" t="n">
        <x:v>1</x:v>
      </x:c>
      <x:c r="C13" s="11" t="n">
        <x:v>0</x:v>
      </x:c>
      <x:c r="D13" s="11" t="n">
        <x:v>24</x:v>
      </x:c>
      <x:c r="E13" s="11" t="n">
        <x:v>3</x:v>
      </x:c>
      <x:c r="F13" s="2" t="str">
        <x:v>endpoint/query families</x:v>
      </x:c>
      <x:c r="G13" s="2" t="str">
        <x:v>Duration, errors, rate limited, partial success, and last success. Add two extra account-level MTS if desired.</x:v>
      </x:c>
      <x:c r="H13" s="12" t="n">
        <x:f>$B13*IF($C13=1,$A$7,1)*$D13*$E13</x:f>
        <x:v>72</x:v>
      </x:c>
      <x:c r="I13" s="12" t="n">
        <x:f>H13*(60/$B$4)*60*24*$D$4</x:f>
        <x:v>3155760</x:v>
      </x:c>
      <x:c r="J13" s="12" t="n">
        <x:f>$B13*IF($C13=1,$A$8,1)*$D13*$E13</x:f>
        <x:v>72</x:v>
      </x:c>
      <x:c r="K13" s="12" t="n">
        <x:f>J13*(60/$B$4)*60*24*$D$4</x:f>
        <x:v>3155760</x:v>
      </x:c>
      <x:c r="L13" s="12" t="n">
        <x:f>$B13*IF($C13=1,$A$9,1)*$D13*$E13</x:f>
        <x:v>72</x:v>
      </x:c>
      <x:c r="M13" s="12" t="n">
        <x:f>L13*(60/$B$4)*60*24*$D$4</x:f>
        <x:v>3155760</x:v>
      </x:c>
    </x:row>
    <x:row r="14">
      <x:c r="A14" s="2" t="str">
        <x:v>Inventory/resource state</x:v>
      </x:c>
      <x:c r="B14" s="11" t="n">
        <x:v>1</x:v>
      </x:c>
      <x:c r="C14" s="11" t="n">
        <x:v>1</x:v>
      </x:c>
      <x:c r="D14" s="11" t="n">
        <x:v>1</x:v>
      </x:c>
      <x:c r="E14" s="11" t="n">
        <x:v>3</x:v>
      </x:c>
      <x:c r="F14" s="2" t="str">
        <x:v>per resource</x:v>
      </x:c>
      <x:c r="G14" s="2" t="str">
        <x:v>Resource info, status, and count MTS by type/status/severity.</x:v>
      </x:c>
      <x:c r="H14" s="12" t="n">
        <x:f>$B14*IF($C14=1,$A$7,1)*$D14*$E14</x:f>
        <x:v>30</x:v>
      </x:c>
      <x:c r="I14" s="12" t="n">
        <x:f>H14*(60/$B$4)*60*24*$D$4</x:f>
        <x:v>1314900</x:v>
      </x:c>
      <x:c r="J14" s="12" t="n">
        <x:f>$B14*IF($C14=1,$A$8,1)*$D14*$E14</x:f>
        <x:v>300</x:v>
      </x:c>
      <x:c r="K14" s="12" t="n">
        <x:f>J14*(60/$B$4)*60*24*$D$4</x:f>
        <x:v>13149000</x:v>
      </x:c>
      <x:c r="L14" s="12" t="n">
        <x:f>$B14*IF($C14=1,$A$9,1)*$D14*$E14</x:f>
        <x:v>3000</x:v>
      </x:c>
      <x:c r="M14" s="12" t="n">
        <x:f>L14*(60/$B$4)*60*24*$D$4</x:f>
        <x:v>131490000</x:v>
      </x:c>
    </x:row>
    <x:row r="15">
      <x:c r="A15" s="2" t="str">
        <x:v>Events and incident status</x:v>
      </x:c>
      <x:c r="B15" s="11" t="n">
        <x:v>1</x:v>
      </x:c>
      <x:c r="C15" s="11" t="n">
        <x:v>1</x:v>
      </x:c>
      <x:c r="D15" s="11" t="n">
        <x:v>1</x:v>
      </x:c>
      <x:c r="E15" s="11" t="n">
        <x:v>2</x:v>
      </x:c>
      <x:c r="F15" s="2" t="str">
        <x:v>per record</x:v>
      </x:c>
      <x:c r="G15" s="2" t="str">
        <x:v>Alarms, advisories, HCL, workflows, tasks, and tech-support status/counts. Logs are not included in this metric total.</x:v>
      </x:c>
      <x:c r="H15" s="12" t="n">
        <x:f>$B15*IF($C15=1,$A$7,1)*$D15*$E15</x:f>
        <x:v>20</x:v>
      </x:c>
      <x:c r="I15" s="12" t="n">
        <x:f>H15*(60/$B$4)*60*24*$D$4</x:f>
        <x:v>876600</x:v>
      </x:c>
      <x:c r="J15" s="12" t="n">
        <x:f>$B15*IF($C15=1,$A$8,1)*$D15*$E15</x:f>
        <x:v>200</x:v>
      </x:c>
      <x:c r="K15" s="12" t="n">
        <x:f>J15*(60/$B$4)*60*24*$D$4</x:f>
        <x:v>8766000</x:v>
      </x:c>
      <x:c r="L15" s="12" t="n">
        <x:f>$B15*IF($C15=1,$A$9,1)*$D15*$E15</x:f>
        <x:v>2000</x:v>
      </x:c>
      <x:c r="M15" s="12" t="n">
        <x:f>L15*(60/$B$4)*60*24*$D$4</x:f>
        <x:v>87660000</x:v>
      </x:c>
    </x:row>
    <x:row r="16">
      <x:c r="A16" s="2" t="str">
        <x:v>Audit count metrics</x:v>
      </x:c>
      <x:c r="B16" s="11" t="n">
        <x:v>0</x:v>
      </x:c>
      <x:c r="C16" s="11" t="n">
        <x:v>1</x:v>
      </x:c>
      <x:c r="D16" s="11" t="n">
        <x:v>1</x:v>
      </x:c>
      <x:c r="E16" s="11" t="n">
        <x:v>1</x:v>
      </x:c>
      <x:c r="F16" s="2" t="str">
        <x:v>per user</x:v>
      </x:c>
      <x:c r="G16" s="2" t="str">
        <x:v>Metric count by user. Audit record bodies are emitted as logs, not metric data points.</x:v>
      </x:c>
      <x:c r="H16" s="12" t="n">
        <x:f>$B16*IF($C16=1,$A$7,1)*$D16*$E16</x:f>
        <x:v>0</x:v>
      </x:c>
      <x:c r="I16" s="12" t="n">
        <x:f>H16*(60/$B$4)*60*24*$D$4</x:f>
        <x:v>0</x:v>
      </x:c>
      <x:c r="J16" s="12" t="n">
        <x:f>$B16*IF($C16=1,$A$8,1)*$D16*$E16</x:f>
        <x:v>0</x:v>
      </x:c>
      <x:c r="K16" s="12" t="n">
        <x:f>J16*(60/$B$4)*60*24*$D$4</x:f>
        <x:v>0</x:v>
      </x:c>
      <x:c r="L16" s="12" t="n">
        <x:f>$B16*IF($C16=1,$A$9,1)*$D16*$E16</x:f>
        <x:v>0</x:v>
      </x:c>
      <x:c r="M16" s="12" t="n">
        <x:f>L16*(60/$B$4)*60*24*$D$4</x:f>
        <x:v>0</x:v>
      </x:c>
    </x:row>
    <x:row r="17">
      <x:c r="A17" s="2" t="str">
        <x:v>Compute/storage/virtualization fields</x:v>
      </x:c>
      <x:c r="B17" s="11" t="n">
        <x:v>1</x:v>
      </x:c>
      <x:c r="C17" s="11" t="n">
        <x:v>1</x:v>
      </x:c>
      <x:c r="D17" s="11" t="n">
        <x:v>3</x:v>
      </x:c>
      <x:c r="E17" s="11" t="n">
        <x:v>1</x:v>
      </x:c>
      <x:c r="F17" s="2" t="str">
        <x:v>field metrics / object</x:v>
      </x:c>
      <x:c r="G17" s="2" t="str">
        <x:v>Compute capacity, storage health/life, HyperFlex status, Kubernetes connection, VM sizing/power, firmware/target status.</x:v>
      </x:c>
      <x:c r="H17" s="12" t="n">
        <x:f>$B17*IF($C17=1,$A$7,1)*$D17*$E17</x:f>
        <x:v>30</x:v>
      </x:c>
      <x:c r="I17" s="12" t="n">
        <x:f>H17*(60/$B$4)*60*24*$D$4</x:f>
        <x:v>1314900</x:v>
      </x:c>
      <x:c r="J17" s="12" t="n">
        <x:f>$B17*IF($C17=1,$A$8,1)*$D17*$E17</x:f>
        <x:v>300</x:v>
      </x:c>
      <x:c r="K17" s="12" t="n">
        <x:f>J17*(60/$B$4)*60*24*$D$4</x:f>
        <x:v>13149000</x:v>
      </x:c>
      <x:c r="L17" s="12" t="n">
        <x:f>$B17*IF($C17=1,$A$9,1)*$D17*$E17</x:f>
        <x:v>3000</x:v>
      </x:c>
      <x:c r="M17" s="12" t="n">
        <x:f>L17*(60/$B$4)*60*24*$D$4</x:f>
        <x:v>131490000</x:v>
      </x:c>
    </x:row>
    <x:row r="18">
      <x:c r="A18" s="2" t="str">
        <x:v>UCS telemetry GroupBy</x:v>
      </x:c>
      <x:c r="B18" s="11" t="n">
        <x:v>1</x:v>
      </x:c>
      <x:c r="C18" s="11" t="n">
        <x:v>1</x:v>
      </x:c>
      <x:c r="D18" s="11" t="n">
        <x:v>50</x:v>
      </x:c>
      <x:c r="E18" s="11" t="n">
        <x:v>1</x:v>
      </x:c>
      <x:c r="F18" s="2" t="str">
        <x:v>metric names / group</x:v>
      </x:c>
      <x:c r="G18" s="2" t="str">
        <x:v>Fan, power, temperature, voltage/current, CPU, memory, network, PSU, optical signal, and status metrics.</x:v>
      </x:c>
      <x:c r="H18" s="12" t="n">
        <x:f>$B18*IF($C18=1,$A$7,1)*$D18*$E18</x:f>
        <x:v>500</x:v>
      </x:c>
      <x:c r="I18" s="12" t="n">
        <x:f>H18*(60/$B$4)*60*24*$D$4</x:f>
        <x:v>21915000</x:v>
      </x:c>
      <x:c r="J18" s="12" t="n">
        <x:f>$B18*IF($C18=1,$A$8,1)*$D18*$E18</x:f>
        <x:v>5000</x:v>
      </x:c>
      <x:c r="K18" s="12" t="n">
        <x:f>J18*(60/$B$4)*60*24*$D$4</x:f>
        <x:v>219150000</x:v>
      </x:c>
      <x:c r="L18" s="12" t="n">
        <x:f>$B18*IF($C18=1,$A$9,1)*$D18*$E18</x:f>
        <x:v>50000</x:v>
      </x:c>
      <x:c r="M18" s="12" t="n">
        <x:f>L18*(60/$B$4)*60*24*$D$4</x:f>
        <x:v>2191500000</x:v>
      </x:c>
    </x:row>
    <x:row r="19">
      <x:c r="A19" s="2" t="str">
        <x:v>HyperFlex telemetry GroupBy</x:v>
      </x:c>
      <x:c r="B19" s="11" t="n">
        <x:v>0</x:v>
      </x:c>
      <x:c r="C19" s="11" t="n">
        <x:v>1</x:v>
      </x:c>
      <x:c r="D19" s="11" t="n">
        <x:v>4</x:v>
      </x:c>
      <x:c r="E19" s="11" t="n">
        <x:v>1</x:v>
      </x:c>
      <x:c r="F19" s="2" t="str">
        <x:v>metrics / cluster</x:v>
      </x:c>
      <x:c r="G19" s="2" t="str">
        <x:v>Read/write IOPS and latency.</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x:c r="B20" s="2"/>
      <x:c r="C20" s="2"/>
      <x:c r="D20" s="2"/>
      <x:c r="E20" s="2"/>
      <x:c r="F20" s="2"/>
      <x:c r="G20" s="2"/>
      <x:c r="H20" s="2"/>
      <x:c r="I20" s="2"/>
      <x:c r="J20" s="2"/>
      <x:c r="K20" s="2"/>
      <x:c r="L20" s="2"/>
      <x:c r="M20" s="2"/>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0.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Catalyst Center Scenarios</x:v>
      </x:c>
      <x:c r="B1" s="4" t="str">
        <x:v>Catalyst Center Scenarios</x:v>
      </x:c>
      <x:c r="C1" s="4" t="str">
        <x:v>Catalyst Center Scenarios</x:v>
      </x:c>
      <x:c r="D1" s="4" t="str">
        <x:v>Catalyst Center Scenarios</x:v>
      </x:c>
      <x:c r="E1" s="4" t="str">
        <x:v>Catalyst Center Scenarios</x:v>
      </x:c>
      <x:c r="F1" s="4" t="str">
        <x:v>Catalyst Center Scenarios</x:v>
      </x:c>
      <x:c r="G1" s="4" t="str">
        <x:v>Catalyst Center Scenarios</x:v>
      </x:c>
      <x:c r="H1" s="4" t="str">
        <x:v>Catalyst Center Scenarios</x:v>
      </x:c>
      <x:c r="I1" s="4" t="str">
        <x:v>Catalyst Center Scenarios</x:v>
      </x:c>
      <x:c r="J1" s="4" t="str">
        <x:v>Catalyst Center Scenarios</x:v>
      </x:c>
      <x:c r="K1" s="4" t="str">
        <x:v>Catalyst Center Scenarios</x:v>
      </x:c>
      <x:c r="L1" s="4" t="str">
        <x:v>Catalyst Center Scenarios</x:v>
      </x:c>
      <x:c r="M1" s="4" t="str">
        <x:v>Catalyst Center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Catalyst Center Assurance profile covering inventory, reachability, health, topology, issues, and optional detail targets.</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SUM(H13:H17)</x:f>
        <x:v>216</x:v>
      </x:c>
      <x:c r="C7" s="12" t="n">
        <x:f>B7*(60/$B$4)</x:f>
        <x:v>216</x:v>
      </x:c>
      <x:c r="D7" s="12" t="n">
        <x:f>C7*60*24</x:f>
        <x:v>311040</x:v>
      </x:c>
      <x:c r="E7" s="12" t="n">
        <x:f>D7*$D$4</x:f>
        <x:v>9467280</x:v>
      </x:c>
      <x:c r="F7" s="2"/>
      <x:c r="G7" s="2"/>
      <x:c r="H7" s="2"/>
      <x:c r="I7" s="2"/>
      <x:c r="J7" s="2"/>
      <x:c r="K7" s="2"/>
      <x:c r="L7" s="2"/>
      <x:c r="M7" s="2"/>
    </x:row>
    <x:row r="8">
      <x:c r="A8" s="11" t="n">
        <x:v>100</x:v>
      </x:c>
      <x:c r="B8" s="12" t="n">
        <x:f>SUM(J13:J17)</x:f>
        <x:v>1836</x:v>
      </x:c>
      <x:c r="C8" s="12" t="n">
        <x:f>B8*(60/$B$4)</x:f>
        <x:v>1836</x:v>
      </x:c>
      <x:c r="D8" s="12" t="n">
        <x:f>C8*60*24</x:f>
        <x:v>2643840</x:v>
      </x:c>
      <x:c r="E8" s="12" t="n">
        <x:f>D8*$D$4</x:f>
        <x:v>80471880</x:v>
      </x:c>
      <x:c r="F8" s="2"/>
      <x:c r="G8" s="2"/>
      <x:c r="H8" s="2"/>
      <x:c r="I8" s="2"/>
      <x:c r="J8" s="2"/>
      <x:c r="K8" s="2"/>
      <x:c r="L8" s="2"/>
      <x:c r="M8" s="2"/>
    </x:row>
    <x:row r="9">
      <x:c r="A9" s="11" t="n">
        <x:v>1000</x:v>
      </x:c>
      <x:c r="B9" s="12" t="n">
        <x:f>SUM(L13:L17)</x:f>
        <x:v>18036</x:v>
      </x:c>
      <x:c r="C9" s="12" t="n">
        <x:f>B9*(60/$B$4)</x:f>
        <x:v>18036</x:v>
      </x:c>
      <x:c r="D9" s="12" t="n">
        <x:f>C9*60*24</x:f>
        <x:v>25971840</x:v>
      </x:c>
      <x:c r="E9" s="12" t="n">
        <x:f>D9*$D$4</x:f>
        <x:v>790517880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 and scrape health</x:v>
      </x:c>
      <x:c r="B13" s="11" t="n">
        <x:v>1</x:v>
      </x:c>
      <x:c r="C13" s="11" t="n">
        <x:v>0</x:v>
      </x:c>
      <x:c r="D13" s="11" t="n">
        <x:v>12</x:v>
      </x:c>
      <x:c r="E13" s="11" t="n">
        <x:v>3</x:v>
      </x:c>
      <x:c r="F13" s="2" t="str">
        <x:v>API operation families</x:v>
      </x:c>
      <x:c r="G13" s="2" t="str">
        <x:v>Duration, errors, rate limits, partial success, and last success for Catalyst Center API polling.</x:v>
      </x:c>
      <x:c r="H13" s="12" t="n">
        <x:f>$B13*IF($C13=1,$A$7,1)*$D13*$E13</x:f>
        <x:v>36</x:v>
      </x:c>
      <x:c r="I13" s="12" t="n">
        <x:f>H13*(60/$B$4)*60*24*$D$4</x:f>
        <x:v>1577880</x:v>
      </x:c>
      <x:c r="J13" s="12" t="n">
        <x:f>$B13*IF($C13=1,$A$8,1)*$D13*$E13</x:f>
        <x:v>36</x:v>
      </x:c>
      <x:c r="K13" s="12" t="n">
        <x:f>J13*(60/$B$4)*60*24*$D$4</x:f>
        <x:v>1577880</x:v>
      </x:c>
      <x:c r="L13" s="12" t="n">
        <x:f>$B13*IF($C13=1,$A$9,1)*$D13*$E13</x:f>
        <x:v>36</x:v>
      </x:c>
      <x:c r="M13" s="12" t="n">
        <x:f>L13*(60/$B$4)*60*24*$D$4</x:f>
        <x:v>1577880</x:v>
      </x:c>
    </x:row>
    <x:row r="14">
      <x:c r="A14" s="2" t="str">
        <x:v>Inventory and reachability</x:v>
      </x:c>
      <x:c r="B14" s="11" t="n">
        <x:v>1</x:v>
      </x:c>
      <x:c r="C14" s="11" t="n">
        <x:v>1</x:v>
      </x:c>
      <x:c r="D14" s="11" t="n">
        <x:v>1</x:v>
      </x:c>
      <x:c r="E14" s="11" t="n">
        <x:v>6</x:v>
      </x:c>
      <x:c r="F14" s="2" t="str">
        <x:v>per device</x:v>
      </x:c>
      <x:c r="G14" s="2" t="str">
        <x:v>Network-device count, reachability, collection status, interface count, uptime, and reused device-up metrics.</x:v>
      </x:c>
      <x:c r="H14" s="12" t="n">
        <x:f>$B14*IF($C14=1,$A$7,1)*$D14*$E14</x:f>
        <x:v>60</x:v>
      </x:c>
      <x:c r="I14" s="12" t="n">
        <x:f>H14*(60/$B$4)*60*24*$D$4</x:f>
        <x:v>2629800</x:v>
      </x:c>
      <x:c r="J14" s="12" t="n">
        <x:f>$B14*IF($C14=1,$A$8,1)*$D14*$E14</x:f>
        <x:v>600</x:v>
      </x:c>
      <x:c r="K14" s="12" t="n">
        <x:f>J14*(60/$B$4)*60*24*$D$4</x:f>
        <x:v>26298000</x:v>
      </x:c>
      <x:c r="L14" s="12" t="n">
        <x:f>$B14*IF($C14=1,$A$9,1)*$D14*$E14</x:f>
        <x:v>6000</x:v>
      </x:c>
      <x:c r="M14" s="12" t="n">
        <x:f>L14*(60/$B$4)*60*24*$D$4</x:f>
        <x:v>262980000</x:v>
      </x:c>
    </x:row>
    <x:row r="15">
      <x:c r="A15" s="2" t="str">
        <x:v>Assurance health</x:v>
      </x:c>
      <x:c r="B15" s="11" t="n">
        <x:v>1</x:v>
      </x:c>
      <x:c r="C15" s="11" t="n">
        <x:v>1</x:v>
      </x:c>
      <x:c r="D15" s="11" t="n">
        <x:v>8</x:v>
      </x:c>
      <x:c r="E15" s="11" t="n">
        <x:v>1</x:v>
      </x:c>
      <x:c r="F15" s="2" t="str">
        <x:v>health states</x:v>
      </x:c>
      <x:c r="G15" s="2" t="str">
        <x:v>Network, entity, category, site, client, and health-state metrics from Assurance endpoints.</x:v>
      </x:c>
      <x:c r="H15" s="12" t="n">
        <x:f>$B15*IF($C15=1,$A$7,1)*$D15*$E15</x:f>
        <x:v>80</x:v>
      </x:c>
      <x:c r="I15" s="12" t="n">
        <x:f>H15*(60/$B$4)*60*24*$D$4</x:f>
        <x:v>3506400</x:v>
      </x:c>
      <x:c r="J15" s="12" t="n">
        <x:f>$B15*IF($C15=1,$A$8,1)*$D15*$E15</x:f>
        <x:v>800</x:v>
      </x:c>
      <x:c r="K15" s="12" t="n">
        <x:f>J15*(60/$B$4)*60*24*$D$4</x:f>
        <x:v>35064000</x:v>
      </x:c>
      <x:c r="L15" s="12" t="n">
        <x:f>$B15*IF($C15=1,$A$9,1)*$D15*$E15</x:f>
        <x:v>8000</x:v>
      </x:c>
      <x:c r="M15" s="12" t="n">
        <x:f>L15*(60/$B$4)*60*24*$D$4</x:f>
        <x:v>350640000</x:v>
      </x:c>
    </x:row>
    <x:row r="16">
      <x:c r="A16" s="2" t="str">
        <x:v>Topology and assurance issues</x:v>
      </x:c>
      <x:c r="B16" s="11" t="n">
        <x:v>1</x:v>
      </x:c>
      <x:c r="C16" s="11" t="n">
        <x:v>1</x:v>
      </x:c>
      <x:c r="D16" s="11" t="n">
        <x:v>4</x:v>
      </x:c>
      <x:c r="E16" s="11" t="n">
        <x:v>1</x:v>
      </x:c>
      <x:c r="F16" s="2" t="str">
        <x:v>status/severity combos</x:v>
      </x:c>
      <x:c r="G16" s="2" t="str">
        <x:v>Physical topology counts and assurance issue totals by severity, priority, status, category, entity type, and site.</x:v>
      </x:c>
      <x:c r="H16" s="12" t="n">
        <x:f>$B16*IF($C16=1,$A$7,1)*$D16*$E16</x:f>
        <x:v>40</x:v>
      </x:c>
      <x:c r="I16" s="12" t="n">
        <x:f>H16*(60/$B$4)*60*24*$D$4</x:f>
        <x:v>1753200</x:v>
      </x:c>
      <x:c r="J16" s="12" t="n">
        <x:f>$B16*IF($C16=1,$A$8,1)*$D16*$E16</x:f>
        <x:v>400</x:v>
      </x:c>
      <x:c r="K16" s="12" t="n">
        <x:f>J16*(60/$B$4)*60*24*$D$4</x:f>
        <x:v>17532000</x:v>
      </x:c>
      <x:c r="L16" s="12" t="n">
        <x:f>$B16*IF($C16=1,$A$9,1)*$D16*$E16</x:f>
        <x:v>4000</x:v>
      </x:c>
      <x:c r="M16" s="12" t="n">
        <x:f>L16*(60/$B$4)*60*24*$D$4</x:f>
        <x:v>175320000</x:v>
      </x:c>
    </x:row>
    <x:row r="17">
      <x:c r="A17" s="2" t="str">
        <x:v>Targeted device and client details</x:v>
      </x:c>
      <x:c r="B17" s="11" t="n">
        <x:v>0</x:v>
      </x:c>
      <x:c r="C17" s="11" t="n">
        <x:v>0</x:v>
      </x:c>
      <x:c r="D17" s="11" t="n">
        <x:v>5</x:v>
      </x:c>
      <x:c r="E17" s="11" t="n">
        <x:v>1</x:v>
      </x:c>
      <x:c r="F17" s="2" t="str">
        <x:v>detail metrics / target</x:v>
      </x:c>
      <x:c r="G17" s="2" t="str">
        <x:v>Only emits for configured device-detail and client-detail lookups. Client RF and traffic fields are data dependent.</x:v>
      </x:c>
      <x:c r="H17" s="12" t="n">
        <x:f>$B17*IF($C17=1,$A$7,1)*$D17*$E17</x:f>
        <x:v>0</x:v>
      </x:c>
      <x:c r="I17" s="12" t="n">
        <x:f>H17*(60/$B$4)*60*24*$D$4</x:f>
        <x:v>0</x:v>
      </x:c>
      <x:c r="J17" s="12" t="n">
        <x:f>$B17*IF($C17=1,$A$8,1)*$D17*$E17</x:f>
        <x:v>0</x:v>
      </x:c>
      <x:c r="K17" s="12" t="n">
        <x:f>J17*(60/$B$4)*60*24*$D$4</x:f>
        <x:v>0</x:v>
      </x:c>
      <x:c r="L17" s="12" t="n">
        <x:f>$B17*IF($C17=1,$A$9,1)*$D17*$E17</x:f>
        <x:v>0</x:v>
      </x:c>
      <x:c r="M17" s="12" t="n">
        <x:f>L17*(60/$B$4)*60*24*$D$4</x:f>
        <x:v>0</x:v>
      </x:c>
    </x:row>
    <x:row r="18">
      <x:c r="A18" s="2"/>
      <x:c r="B18" s="2"/>
      <x:c r="C18" s="2"/>
      <x:c r="D18" s="2"/>
      <x:c r="E18" s="2"/>
      <x:c r="F18" s="2"/>
      <x:c r="G18" s="2"/>
      <x:c r="H18" s="2"/>
      <x:c r="I18" s="2"/>
      <x:c r="J18" s="2"/>
      <x:c r="K18" s="2"/>
      <x:c r="L18" s="2"/>
      <x:c r="M18" s="2"/>
    </x:row>
    <x:row r="19">
      <x:c r="A19" s="2"/>
      <x:c r="B19" s="2"/>
      <x:c r="C19" s="2"/>
      <x:c r="D19" s="2"/>
      <x:c r="E19" s="2"/>
      <x:c r="F19" s="2"/>
      <x:c r="G19" s="2"/>
      <x:c r="H19" s="2"/>
      <x:c r="I19" s="2"/>
      <x:c r="J19" s="2"/>
      <x:c r="K19" s="2"/>
      <x:c r="L19" s="2"/>
      <x:c r="M19" s="2"/>
    </x:row>
    <x:row r="20">
      <x:c r="A20" s="2"/>
      <x:c r="B20" s="2"/>
      <x:c r="C20" s="2"/>
      <x:c r="D20" s="2"/>
      <x:c r="E20" s="2"/>
      <x:c r="F20" s="2"/>
      <x:c r="G20" s="2"/>
      <x:c r="H20" s="2"/>
      <x:c r="I20" s="2"/>
      <x:c r="J20" s="2"/>
      <x:c r="K20" s="2"/>
      <x:c r="L20" s="2"/>
      <x:c r="M20" s="2"/>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1.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Catalyst 9800 WLCs Scenarios</x:v>
      </x:c>
      <x:c r="B1" s="4" t="str">
        <x:v>Catalyst 9800 WLCs Scenarios</x:v>
      </x:c>
      <x:c r="C1" s="4" t="str">
        <x:v>Catalyst 9800 WLCs Scenarios</x:v>
      </x:c>
      <x:c r="D1" s="4" t="str">
        <x:v>Catalyst 9800 WLCs Scenarios</x:v>
      </x:c>
      <x:c r="E1" s="4" t="str">
        <x:v>Catalyst 9800 WLCs Scenarios</x:v>
      </x:c>
      <x:c r="F1" s="4" t="str">
        <x:v>Catalyst 9800 WLCs Scenarios</x:v>
      </x:c>
      <x:c r="G1" s="4" t="str">
        <x:v>Catalyst 9800 WLCs Scenarios</x:v>
      </x:c>
      <x:c r="H1" s="4" t="str">
        <x:v>Catalyst 9800 WLCs Scenarios</x:v>
      </x:c>
      <x:c r="I1" s="4" t="str">
        <x:v>Catalyst 9800 WLCs Scenarios</x:v>
      </x:c>
      <x:c r="J1" s="4" t="str">
        <x:v>Catalyst 9800 WLCs Scenarios</x:v>
      </x:c>
      <x:c r="K1" s="4" t="str">
        <x:v>Catalyst 9800 WLCs Scenarios</x:v>
      </x:c>
      <x:c r="L1" s="4" t="str">
        <x:v>Catalyst 9800 WLCs Scenarios</x:v>
      </x:c>
      <x:c r="M1" s="4" t="str">
        <x:v>Catalyst 9800 WLCs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Direct Catalyst 9800 WLC gNMI/MDT profile. Safe default path groups are enabled; client detail and neighbor-heavy paths are editable and off by default.</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SUM(H13:H20)</x:f>
        <x:v>1124</x:v>
      </x:c>
      <x:c r="C7" s="12" t="n">
        <x:f>B7*(60/$B$4)</x:f>
        <x:v>1124</x:v>
      </x:c>
      <x:c r="D7" s="12" t="n">
        <x:f>C7*60*24</x:f>
        <x:v>1618560</x:v>
      </x:c>
      <x:c r="E7" s="12" t="n">
        <x:f>D7*$D$4</x:f>
        <x:v>49264920</x:v>
      </x:c>
      <x:c r="F7" s="2"/>
      <x:c r="G7" s="2"/>
      <x:c r="H7" s="2"/>
      <x:c r="I7" s="2"/>
      <x:c r="J7" s="2"/>
      <x:c r="K7" s="2"/>
      <x:c r="L7" s="2"/>
      <x:c r="M7" s="2"/>
    </x:row>
    <x:row r="8">
      <x:c r="A8" s="11" t="n">
        <x:v>100</x:v>
      </x:c>
      <x:c r="B8" s="12" t="n">
        <x:f>SUM(J13:J20)</x:f>
        <x:v>5984</x:v>
      </x:c>
      <x:c r="C8" s="12" t="n">
        <x:f>B8*(60/$B$4)</x:f>
        <x:v>5984</x:v>
      </x:c>
      <x:c r="D8" s="12" t="n">
        <x:f>C8*60*24</x:f>
        <x:v>8616960</x:v>
      </x:c>
      <x:c r="E8" s="12" t="n">
        <x:f>D8*$D$4</x:f>
        <x:v>262278720</x:v>
      </x:c>
      <x:c r="F8" s="2"/>
      <x:c r="G8" s="2"/>
      <x:c r="H8" s="2"/>
      <x:c r="I8" s="2"/>
      <x:c r="J8" s="2"/>
      <x:c r="K8" s="2"/>
      <x:c r="L8" s="2"/>
      <x:c r="M8" s="2"/>
    </x:row>
    <x:row r="9">
      <x:c r="A9" s="11" t="n">
        <x:v>1000</x:v>
      </x:c>
      <x:c r="B9" s="12" t="n">
        <x:f>SUM(L13:L20)</x:f>
        <x:v>54584</x:v>
      </x:c>
      <x:c r="C9" s="12" t="n">
        <x:f>B9*(60/$B$4)</x:f>
        <x:v>54584</x:v>
      </x:c>
      <x:c r="D9" s="12" t="n">
        <x:f>C9*60*24</x:f>
        <x:v>78600960</x:v>
      </x:c>
      <x:c r="E9" s="12" t="n">
        <x:f>D9*$D$4</x:f>
        <x:v>2392416720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Receiver and subscription health</x:v>
      </x:c>
      <x:c r="B13" s="11" t="n">
        <x:v>1</x:v>
      </x:c>
      <x:c r="C13" s="11" t="n">
        <x:v>0</x:v>
      </x:c>
      <x:c r="D13" s="11" t="n">
        <x:v>4</x:v>
      </x:c>
      <x:c r="E13" s="11" t="n">
        <x:v>8</x:v>
      </x:c>
      <x:c r="F13" s="2" t="str">
        <x:v>subscriptions / target</x:v>
      </x:c>
      <x:c r="G13" s="2" t="str">
        <x:v>Receiver active subscriptions, updates, decode errors, unsupported paths, reconnects, dropped datapoints, compact GPB payloads, and last success.</x:v>
      </x:c>
      <x:c r="H13" s="12" t="n">
        <x:f>$B13*IF($C13=1,$A$7,1)*$D13*$E13</x:f>
        <x:v>32</x:v>
      </x:c>
      <x:c r="I13" s="12" t="n">
        <x:f>H13*(60/$B$4)*60*24*$D$4</x:f>
        <x:v>1402560</x:v>
      </x:c>
      <x:c r="J13" s="12" t="n">
        <x:f>$B13*IF($C13=1,$A$8,1)*$D13*$E13</x:f>
        <x:v>32</x:v>
      </x:c>
      <x:c r="K13" s="12" t="n">
        <x:f>J13*(60/$B$4)*60*24*$D$4</x:f>
        <x:v>1402560</x:v>
      </x:c>
      <x:c r="L13" s="12" t="n">
        <x:f>$B13*IF($C13=1,$A$9,1)*$D13*$E13</x:f>
        <x:v>32</x:v>
      </x:c>
      <x:c r="M13" s="12" t="n">
        <x:f>L13*(60/$B$4)*60*24*$D$4</x:f>
        <x:v>1402560</x:v>
      </x:c>
    </x:row>
    <x:row r="14">
      <x:c r="A14" s="2" t="str">
        <x:v>AP join, CAPWAP, and operational state</x:v>
      </x:c>
      <x:c r="B14" s="11" t="n">
        <x:v>1</x:v>
      </x:c>
      <x:c r="C14" s="11" t="n">
        <x:v>1</x:v>
      </x:c>
      <x:c r="D14" s="11" t="n">
        <x:v>1</x:v>
      </x:c>
      <x:c r="E14" s="11" t="n">
        <x:v>6</x:v>
      </x:c>
      <x:c r="F14" s="2" t="str">
        <x:v>state metrics / AP</x:v>
      </x:c>
      <x:c r="G14" s="2" t="str">
        <x:v>AP join status, join failures, CAPWAP state/encryption, operational identity, and disconnect counters.</x:v>
      </x:c>
      <x:c r="H14" s="12" t="n">
        <x:f>$B14*IF($C14=1,$A$7,1)*$D14*$E14</x:f>
        <x:v>60</x:v>
      </x:c>
      <x:c r="I14" s="12" t="n">
        <x:f>H14*(60/$B$4)*60*24*$D$4</x:f>
        <x:v>2629800</x:v>
      </x:c>
      <x:c r="J14" s="12" t="n">
        <x:f>$B14*IF($C14=1,$A$8,1)*$D14*$E14</x:f>
        <x:v>600</x:v>
      </x:c>
      <x:c r="K14" s="12" t="n">
        <x:f>J14*(60/$B$4)*60*24*$D$4</x:f>
        <x:v>26298000</x:v>
      </x:c>
      <x:c r="L14" s="12" t="n">
        <x:f>$B14*IF($C14=1,$A$9,1)*$D14*$E14</x:f>
        <x:v>6000</x:v>
      </x:c>
      <x:c r="M14" s="12" t="n">
        <x:f>L14*(60/$B$4)*60*24*$D$4</x:f>
        <x:v>262980000</x:v>
      </x:c>
    </x:row>
    <x:row r="15">
      <x:c r="A15" s="2" t="str">
        <x:v>RF radio and RRM telemetry</x:v>
      </x:c>
      <x:c r="B15" s="11" t="n">
        <x:v>1</x:v>
      </x:c>
      <x:c r="C15" s="11" t="n">
        <x:v>1</x:v>
      </x:c>
      <x:c r="D15" s="11" t="n">
        <x:v>1</x:v>
      </x:c>
      <x:c r="E15" s="11" t="n">
        <x:v>8</x:v>
      </x:c>
      <x:c r="F15" s="2" t="str">
        <x:v>radio metrics / radio</x:v>
      </x:c>
      <x:c r="G15" s="2" t="str">
        <x:v>Radio client counts, channel utilization, noise, load, RRM measurement, and channel-change counters.</x:v>
      </x:c>
      <x:c r="H15" s="12" t="n">
        <x:f>$B15*IF($C15=1,$A$7,1)*$D15*$E15</x:f>
        <x:v>80</x:v>
      </x:c>
      <x:c r="I15" s="12" t="n">
        <x:f>H15*(60/$B$4)*60*24*$D$4</x:f>
        <x:v>3506400</x:v>
      </x:c>
      <x:c r="J15" s="12" t="n">
        <x:f>$B15*IF($C15=1,$A$8,1)*$D15*$E15</x:f>
        <x:v>800</x:v>
      </x:c>
      <x:c r="K15" s="12" t="n">
        <x:f>J15*(60/$B$4)*60*24*$D$4</x:f>
        <x:v>35064000</x:v>
      </x:c>
      <x:c r="L15" s="12" t="n">
        <x:f>$B15*IF($C15=1,$A$9,1)*$D15*$E15</x:f>
        <x:v>8000</x:v>
      </x:c>
      <x:c r="M15" s="12" t="n">
        <x:f>L15*(60/$B$4)*60*24*$D$4</x:f>
        <x:v>350640000</x:v>
      </x:c>
    </x:row>
    <x:row r="16">
      <x:c r="A16" s="2" t="str">
        <x:v>SSID and BSSID counters</x:v>
      </x:c>
      <x:c r="B16" s="11" t="n">
        <x:v>1</x:v>
      </x:c>
      <x:c r="C16" s="11" t="n">
        <x:v>1</x:v>
      </x:c>
      <x:c r="D16" s="11" t="n">
        <x:v>8</x:v>
      </x:c>
      <x:c r="E16" s="11" t="n">
        <x:v>5</x:v>
      </x:c>
      <x:c r="F16" s="2" t="str">
        <x:v>BSS / AP</x:v>
      </x:c>
      <x:c r="G16" s="2" t="str">
        <x:v>SSID/BSSID client counts, channel utilization, bytes, retries, and related counters.</x:v>
      </x:c>
      <x:c r="H16" s="12" t="n">
        <x:f>$B16*IF($C16=1,$A$7,1)*$D16*$E16</x:f>
        <x:v>400</x:v>
      </x:c>
      <x:c r="I16" s="12" t="n">
        <x:f>H16*(60/$B$4)*60*24*$D$4</x:f>
        <x:v>17532000</x:v>
      </x:c>
      <x:c r="J16" s="12" t="n">
        <x:f>$B16*IF($C16=1,$A$8,1)*$D16*$E16</x:f>
        <x:v>4000</x:v>
      </x:c>
      <x:c r="K16" s="12" t="n">
        <x:f>J16*(60/$B$4)*60*24*$D$4</x:f>
        <x:v>175320000</x:v>
      </x:c>
      <x:c r="L16" s="12" t="n">
        <x:f>$B16*IF($C16=1,$A$9,1)*$D16*$E16</x:f>
        <x:v>40000</x:v>
      </x:c>
      <x:c r="M16" s="12" t="n">
        <x:f>L16*(60/$B$4)*60*24*$D$4</x:f>
        <x:v>1753200000</x:v>
      </x:c>
    </x:row>
    <x:row r="17">
      <x:c r="A17" s="2" t="str">
        <x:v>Mobility, HA, and auth summary</x:v>
      </x:c>
      <x:c r="B17" s="11" t="n">
        <x:v>1</x:v>
      </x:c>
      <x:c r="C17" s="11" t="n">
        <x:v>0</x:v>
      </x:c>
      <x:c r="D17" s="11" t="n">
        <x:v>24</x:v>
      </x:c>
      <x:c r="E17" s="11" t="n">
        <x:v>3</x:v>
      </x:c>
      <x:c r="F17" s="2" t="str">
        <x:v>peer/server/state combos</x:v>
      </x:c>
      <x:c r="G17" s="2" t="str">
        <x:v>Mobility peer state, HA state/switchover, and RADIUS summary counters.</x:v>
      </x:c>
      <x:c r="H17" s="12" t="n">
        <x:f>$B17*IF($C17=1,$A$7,1)*$D17*$E17</x:f>
        <x:v>72</x:v>
      </x:c>
      <x:c r="I17" s="12" t="n">
        <x:f>H17*(60/$B$4)*60*24*$D$4</x:f>
        <x:v>3155760</x:v>
      </x:c>
      <x:c r="J17" s="12" t="n">
        <x:f>$B17*IF($C17=1,$A$8,1)*$D17*$E17</x:f>
        <x:v>72</x:v>
      </x:c>
      <x:c r="K17" s="12" t="n">
        <x:f>J17*(60/$B$4)*60*24*$D$4</x:f>
        <x:v>3155760</x:v>
      </x:c>
      <x:c r="L17" s="12" t="n">
        <x:f>$B17*IF($C17=1,$A$9,1)*$D17*$E17</x:f>
        <x:v>72</x:v>
      </x:c>
      <x:c r="M17" s="12" t="n">
        <x:f>L17*(60/$B$4)*60*24*$D$4</x:f>
        <x:v>3155760</x:v>
      </x:c>
    </x:row>
    <x:row r="18">
      <x:c r="A18" s="2" t="str">
        <x:v>Controller system and interfaces</x:v>
      </x:c>
      <x:c r="B18" s="11" t="n">
        <x:v>1</x:v>
      </x:c>
      <x:c r="C18" s="11" t="n">
        <x:v>0</x:v>
      </x:c>
      <x:c r="D18" s="11" t="n">
        <x:v>120</x:v>
      </x:c>
      <x:c r="E18" s="11" t="n">
        <x:v>4</x:v>
      </x:c>
      <x:c r="F18" s="2" t="str">
        <x:v>component/interface combos</x:v>
      </x:c>
      <x:c r="G18" s="2" t="str">
        <x:v>Controller CPU, platform, hardware, interface, LLDP, and telemetry self-health path groups.</x:v>
      </x:c>
      <x:c r="H18" s="12" t="n">
        <x:f>$B18*IF($C18=1,$A$7,1)*$D18*$E18</x:f>
        <x:v>480</x:v>
      </x:c>
      <x:c r="I18" s="12" t="n">
        <x:f>H18*(60/$B$4)*60*24*$D$4</x:f>
        <x:v>21038400</x:v>
      </x:c>
      <x:c r="J18" s="12" t="n">
        <x:f>$B18*IF($C18=1,$A$8,1)*$D18*$E18</x:f>
        <x:v>480</x:v>
      </x:c>
      <x:c r="K18" s="12" t="n">
        <x:f>J18*(60/$B$4)*60*24*$D$4</x:f>
        <x:v>21038400</x:v>
      </x:c>
      <x:c r="L18" s="12" t="n">
        <x:f>$B18*IF($C18=1,$A$9,1)*$D18*$E18</x:f>
        <x:v>480</x:v>
      </x:c>
      <x:c r="M18" s="12" t="n">
        <x:f>L18*(60/$B$4)*60*24*$D$4</x:f>
        <x:v>21038400</x:v>
      </x:c>
    </x:row>
    <x:row r="19">
      <x:c r="A19" s="2" t="str">
        <x:v>Client detail telemetry</x:v>
      </x:c>
      <x:c r="B19" s="11" t="n">
        <x:v>0</x:v>
      </x:c>
      <x:c r="C19" s="11" t="n">
        <x:v>1</x:v>
      </x:c>
      <x:c r="D19" s="11" t="n">
        <x:v>1</x:v>
      </x:c>
      <x:c r="E19" s="11" t="n">
        <x:v>8</x:v>
      </x:c>
      <x:c r="F19" s="2" t="str">
        <x:v>client metric groups</x:v>
      </x:c>
      <x:c r="G19" s="2" t="str">
        <x:v>Client connection, dot11, traffic, RSSI/SNR, roam, WLAN, and exclusion details. High-cardinality and opt-in.</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t="str">
        <x:v>CAPWAP packets and AP neighbors</x:v>
      </x:c>
      <x:c r="B20" s="11" t="n">
        <x:v>0</x:v>
      </x:c>
      <x:c r="C20" s="11" t="n">
        <x:v>1</x:v>
      </x:c>
      <x:c r="D20" s="11" t="n">
        <x:v>8</x:v>
      </x:c>
      <x:c r="E20" s="11" t="n">
        <x:v>4</x:v>
      </x:c>
      <x:c r="F20" s="2" t="str">
        <x:v>packet/neighbor combos</x:v>
      </x:c>
      <x:c r="G20" s="2" t="str">
        <x:v>CAPWAP packet/error counters and RRM/AP neighbor records. High-volume path groups.</x:v>
      </x:c>
      <x:c r="H20" s="12" t="n">
        <x:f>$B20*IF($C20=1,$A$7,1)*$D20*$E20</x:f>
        <x:v>0</x:v>
      </x:c>
      <x:c r="I20" s="12" t="n">
        <x:f>H20*(60/$B$4)*60*24*$D$4</x:f>
        <x:v>0</x:v>
      </x:c>
      <x:c r="J20" s="12" t="n">
        <x:f>$B20*IF($C20=1,$A$8,1)*$D20*$E20</x:f>
        <x:v>0</x:v>
      </x:c>
      <x:c r="K20" s="12" t="n">
        <x:f>J20*(60/$B$4)*60*24*$D$4</x:f>
        <x:v>0</x:v>
      </x:c>
      <x:c r="L20" s="12" t="n">
        <x:f>$B20*IF($C20=1,$A$9,1)*$D20*$E20</x:f>
        <x:v>0</x:v>
      </x:c>
      <x:c r="M20" s="12" t="n">
        <x:f>L20*(60/$B$4)*60*24*$D$4</x:f>
        <x:v>0</x:v>
      </x:c>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2.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SD-WAN Devices Scenarios</x:v>
      </x:c>
      <x:c r="B1" s="4" t="str">
        <x:v>SD-WAN Devices Scenarios</x:v>
      </x:c>
      <x:c r="C1" s="4" t="str">
        <x:v>SD-WAN Devices Scenarios</x:v>
      </x:c>
      <x:c r="D1" s="4" t="str">
        <x:v>SD-WAN Devices Scenarios</x:v>
      </x:c>
      <x:c r="E1" s="4" t="str">
        <x:v>SD-WAN Devices Scenarios</x:v>
      </x:c>
      <x:c r="F1" s="4" t="str">
        <x:v>SD-WAN Devices Scenarios</x:v>
      </x:c>
      <x:c r="G1" s="4" t="str">
        <x:v>SD-WAN Devices Scenarios</x:v>
      </x:c>
      <x:c r="H1" s="4" t="str">
        <x:v>SD-WAN Devices Scenarios</x:v>
      </x:c>
      <x:c r="I1" s="4" t="str">
        <x:v>SD-WAN Devices Scenarios</x:v>
      </x:c>
      <x:c r="J1" s="4" t="str">
        <x:v>SD-WAN Devices Scenarios</x:v>
      </x:c>
      <x:c r="K1" s="4" t="str">
        <x:v>SD-WAN Devices Scenarios</x:v>
      </x:c>
      <x:c r="L1" s="4" t="str">
        <x:v>SD-WAN Devices Scenarios</x:v>
      </x:c>
      <x:c r="M1" s="4" t="str">
        <x:v>SD-WAN Devices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Catalyst SD-WAN Manager profile. Default API groups are enabled while realtime, flow, security, NWPI, and other high-cardinality groups remain editable.</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SUM(H13:H20)</x:f>
        <x:v>872</x:v>
      </x:c>
      <x:c r="C7" s="12" t="n">
        <x:f>B7*(60/$B$4)</x:f>
        <x:v>872</x:v>
      </x:c>
      <x:c r="D7" s="12" t="n">
        <x:f>C7*60*24</x:f>
        <x:v>1255680</x:v>
      </x:c>
      <x:c r="E7" s="12" t="n">
        <x:f>D7*$D$4</x:f>
        <x:v>38219760</x:v>
      </x:c>
      <x:c r="F7" s="2"/>
      <x:c r="G7" s="2"/>
      <x:c r="H7" s="2"/>
      <x:c r="I7" s="2"/>
      <x:c r="J7" s="2"/>
      <x:c r="K7" s="2"/>
      <x:c r="L7" s="2"/>
      <x:c r="M7" s="2"/>
    </x:row>
    <x:row r="8">
      <x:c r="A8" s="11" t="n">
        <x:v>100</x:v>
      </x:c>
      <x:c r="B8" s="12" t="n">
        <x:f>SUM(J13:J20)</x:f>
        <x:v>8072</x:v>
      </x:c>
      <x:c r="C8" s="12" t="n">
        <x:f>B8*(60/$B$4)</x:f>
        <x:v>8072</x:v>
      </x:c>
      <x:c r="D8" s="12" t="n">
        <x:f>C8*60*24</x:f>
        <x:v>11623680</x:v>
      </x:c>
      <x:c r="E8" s="12" t="n">
        <x:f>D8*$D$4</x:f>
        <x:v>353795760</x:v>
      </x:c>
      <x:c r="F8" s="2"/>
      <x:c r="G8" s="2"/>
      <x:c r="H8" s="2"/>
      <x:c r="I8" s="2"/>
      <x:c r="J8" s="2"/>
      <x:c r="K8" s="2"/>
      <x:c r="L8" s="2"/>
      <x:c r="M8" s="2"/>
    </x:row>
    <x:row r="9">
      <x:c r="A9" s="11" t="n">
        <x:v>1000</x:v>
      </x:c>
      <x:c r="B9" s="12" t="n">
        <x:f>SUM(L13:L20)</x:f>
        <x:v>80072</x:v>
      </x:c>
      <x:c r="C9" s="12" t="n">
        <x:f>B9*(60/$B$4)</x:f>
        <x:v>80072</x:v>
      </x:c>
      <x:c r="D9" s="12" t="n">
        <x:f>C9*60*24</x:f>
        <x:v>115303680</x:v>
      </x:c>
      <x:c r="E9" s="12" t="n">
        <x:f>D9*$D$4</x:f>
        <x:v>3509555760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 and scrape health</x:v>
      </x:c>
      <x:c r="B13" s="11" t="n">
        <x:v>1</x:v>
      </x:c>
      <x:c r="C13" s="11" t="n">
        <x:v>0</x:v>
      </x:c>
      <x:c r="D13" s="11" t="n">
        <x:v>24</x:v>
      </x:c>
      <x:c r="E13" s="11" t="n">
        <x:v>3</x:v>
      </x:c>
      <x:c r="F13" s="2" t="str">
        <x:v>API operation families</x:v>
      </x:c>
      <x:c r="G13" s="2" t="str">
        <x:v>Duration, errors, rate limits, endpoint skipped/unavailable, partial success, last success, and manager up.</x:v>
      </x:c>
      <x:c r="H13" s="12" t="n">
        <x:f>$B13*IF($C13=1,$A$7,1)*$D13*$E13</x:f>
        <x:v>72</x:v>
      </x:c>
      <x:c r="I13" s="12" t="n">
        <x:f>H13*(60/$B$4)*60*24*$D$4</x:f>
        <x:v>3155760</x:v>
      </x:c>
      <x:c r="J13" s="12" t="n">
        <x:f>$B13*IF($C13=1,$A$8,1)*$D13*$E13</x:f>
        <x:v>72</x:v>
      </x:c>
      <x:c r="K13" s="12" t="n">
        <x:f>J13*(60/$B$4)*60*24*$D$4</x:f>
        <x:v>3155760</x:v>
      </x:c>
      <x:c r="L13" s="12" t="n">
        <x:f>$B13*IF($C13=1,$A$9,1)*$D13*$E13</x:f>
        <x:v>72</x:v>
      </x:c>
      <x:c r="M13" s="12" t="n">
        <x:f>L13*(60/$B$4)*60*24*$D$4</x:f>
        <x:v>3155760</x:v>
      </x:c>
    </x:row>
    <x:row r="14">
      <x:c r="A14" s="2" t="str">
        <x:v>Inventory and reachability</x:v>
      </x:c>
      <x:c r="B14" s="11" t="n">
        <x:v>1</x:v>
      </x:c>
      <x:c r="C14" s="11" t="n">
        <x:v>1</x:v>
      </x:c>
      <x:c r="D14" s="11" t="n">
        <x:v>1</x:v>
      </x:c>
      <x:c r="E14" s="11" t="n">
        <x:v>6</x:v>
      </x:c>
      <x:c r="F14" s="2" t="str">
        <x:v>per device</x:v>
      </x:c>
      <x:c r="G14" s="2" t="str">
        <x:v>Resource info/status, device reachability, certificate validity, device up, and inventory counts.</x:v>
      </x:c>
      <x:c r="H14" s="12" t="n">
        <x:f>$B14*IF($C14=1,$A$7,1)*$D14*$E14</x:f>
        <x:v>60</x:v>
      </x:c>
      <x:c r="I14" s="12" t="n">
        <x:f>H14*(60/$B$4)*60*24*$D$4</x:f>
        <x:v>2629800</x:v>
      </x:c>
      <x:c r="J14" s="12" t="n">
        <x:f>$B14*IF($C14=1,$A$8,1)*$D14*$E14</x:f>
        <x:v>600</x:v>
      </x:c>
      <x:c r="K14" s="12" t="n">
        <x:f>J14*(60/$B$4)*60*24*$D$4</x:f>
        <x:v>26298000</x:v>
      </x:c>
      <x:c r="L14" s="12" t="n">
        <x:f>$B14*IF($C14=1,$A$9,1)*$D14*$E14</x:f>
        <x:v>6000</x:v>
      </x:c>
      <x:c r="M14" s="12" t="n">
        <x:f>L14*(60/$B$4)*60*24*$D$4</x:f>
        <x:v>262980000</x:v>
      </x:c>
    </x:row>
    <x:row r="15">
      <x:c r="A15" s="2" t="str">
        <x:v>Control, BFD, and AppRoute</x:v>
      </x:c>
      <x:c r="B15" s="11" t="n">
        <x:v>1</x:v>
      </x:c>
      <x:c r="C15" s="11" t="n">
        <x:v>1</x:v>
      </x:c>
      <x:c r="D15" s="11" t="n">
        <x:v>8</x:v>
      </x:c>
      <x:c r="E15" s="11" t="n">
        <x:v>5</x:v>
      </x:c>
      <x:c r="F15" s="2" t="str">
        <x:v>peers/tunnels / device</x:v>
      </x:c>
      <x:c r="G15" s="2" t="str">
        <x:v>Control connection status/expected/actual, BFD session status, and AppRoute SLA status.</x:v>
      </x:c>
      <x:c r="H15" s="12" t="n">
        <x:f>$B15*IF($C15=1,$A$7,1)*$D15*$E15</x:f>
        <x:v>400</x:v>
      </x:c>
      <x:c r="I15" s="12" t="n">
        <x:f>H15*(60/$B$4)*60*24*$D$4</x:f>
        <x:v>17532000</x:v>
      </x:c>
      <x:c r="J15" s="12" t="n">
        <x:f>$B15*IF($C15=1,$A$8,1)*$D15*$E15</x:f>
        <x:v>4000</x:v>
      </x:c>
      <x:c r="K15" s="12" t="n">
        <x:f>J15*(60/$B$4)*60*24*$D$4</x:f>
        <x:v>175320000</x:v>
      </x:c>
      <x:c r="L15" s="12" t="n">
        <x:f>$B15*IF($C15=1,$A$9,1)*$D15*$E15</x:f>
        <x:v>40000</x:v>
      </x:c>
      <x:c r="M15" s="12" t="n">
        <x:f>L15*(60/$B$4)*60*24*$D$4</x:f>
        <x:v>1753200000</x:v>
      </x:c>
    </x:row>
    <x:row r="16">
      <x:c r="A16" s="2" t="str">
        <x:v>Interfaces and transport</x:v>
      </x:c>
      <x:c r="B16" s="11" t="n">
        <x:v>1</x:v>
      </x:c>
      <x:c r="C16" s="11" t="n">
        <x:v>1</x:v>
      </x:c>
      <x:c r="D16" s="11" t="n">
        <x:v>8</x:v>
      </x:c>
      <x:c r="E16" s="11" t="n">
        <x:v>4</x:v>
      </x:c>
      <x:c r="F16" s="2" t="str">
        <x:v>interfaces / device</x:v>
      </x:c>
      <x:c r="G16" s="2" t="str">
        <x:v>Interface operational/admin/transport status and reusable network interface metrics.</x:v>
      </x:c>
      <x:c r="H16" s="12" t="n">
        <x:f>$B16*IF($C16=1,$A$7,1)*$D16*$E16</x:f>
        <x:v>320</x:v>
      </x:c>
      <x:c r="I16" s="12" t="n">
        <x:f>H16*(60/$B$4)*60*24*$D$4</x:f>
        <x:v>14025600</x:v>
      </x:c>
      <x:c r="J16" s="12" t="n">
        <x:f>$B16*IF($C16=1,$A$8,1)*$D16*$E16</x:f>
        <x:v>3200</x:v>
      </x:c>
      <x:c r="K16" s="12" t="n">
        <x:f>J16*(60/$B$4)*60*24*$D$4</x:f>
        <x:v>140256000</x:v>
      </x:c>
      <x:c r="L16" s="12" t="n">
        <x:f>$B16*IF($C16=1,$A$9,1)*$D16*$E16</x:f>
        <x:v>32000</x:v>
      </x:c>
      <x:c r="M16" s="12" t="n">
        <x:f>L16*(60/$B$4)*60*24*$D$4</x:f>
        <x:v>1402560000</x:v>
      </x:c>
    </x:row>
    <x:row r="17">
      <x:c r="A17" s="2" t="str">
        <x:v>Alarms, events, and audit counts</x:v>
      </x:c>
      <x:c r="B17" s="11" t="n">
        <x:v>1</x:v>
      </x:c>
      <x:c r="C17" s="11" t="n">
        <x:v>1</x:v>
      </x:c>
      <x:c r="D17" s="11" t="n">
        <x:v>1</x:v>
      </x:c>
      <x:c r="E17" s="11" t="n">
        <x:v>2</x:v>
      </x:c>
      <x:c r="F17" s="2" t="str">
        <x:v>per record</x:v>
      </x:c>
      <x:c r="G17" s="2" t="str">
        <x:v>Alarm, event, and audit count metrics. Detailed records are log-oriented evidence.</x:v>
      </x:c>
      <x:c r="H17" s="12" t="n">
        <x:f>$B17*IF($C17=1,$A$7,1)*$D17*$E17</x:f>
        <x:v>20</x:v>
      </x:c>
      <x:c r="I17" s="12" t="n">
        <x:f>H17*(60/$B$4)*60*24*$D$4</x:f>
        <x:v>876600</x:v>
      </x:c>
      <x:c r="J17" s="12" t="n">
        <x:f>$B17*IF($C17=1,$A$8,1)*$D17*$E17</x:f>
        <x:v>200</x:v>
      </x:c>
      <x:c r="K17" s="12" t="n">
        <x:f>J17*(60/$B$4)*60*24*$D$4</x:f>
        <x:v>8766000</x:v>
      </x:c>
      <x:c r="L17" s="12" t="n">
        <x:f>$B17*IF($C17=1,$A$9,1)*$D17*$E17</x:f>
        <x:v>2000</x:v>
      </x:c>
      <x:c r="M17" s="12" t="n">
        <x:f>L17*(60/$B$4)*60*24*$D$4</x:f>
        <x:v>87660000</x:v>
      </x:c>
    </x:row>
    <x:row r="18">
      <x:c r="A18" s="2" t="str">
        <x:v>Realtime tunnels and flows</x:v>
      </x:c>
      <x:c r="B18" s="11" t="n">
        <x:v>0</x:v>
      </x:c>
      <x:c r="C18" s="11" t="n">
        <x:v>1</x:v>
      </x:c>
      <x:c r="D18" s="11" t="n">
        <x:v>20</x:v>
      </x:c>
      <x:c r="E18" s="11" t="n">
        <x:v>3</x:v>
      </x:c>
      <x:c r="F18" s="2" t="str">
        <x:v>tunnels/flows / device</x:v>
      </x:c>
      <x:c r="G18" s="2" t="str">
        <x:v>Realtime details, tunnel, flow, and path metrics. Requires target filters and is opt-in.</x:v>
      </x:c>
      <x:c r="H18" s="12" t="n">
        <x:f>$B18*IF($C18=1,$A$7,1)*$D18*$E18</x:f>
        <x:v>0</x:v>
      </x:c>
      <x:c r="I18" s="12" t="n">
        <x:f>H18*(60/$B$4)*60*24*$D$4</x:f>
        <x:v>0</x:v>
      </x:c>
      <x:c r="J18" s="12" t="n">
        <x:f>$B18*IF($C18=1,$A$8,1)*$D18*$E18</x:f>
        <x:v>0</x:v>
      </x:c>
      <x:c r="K18" s="12" t="n">
        <x:f>J18*(60/$B$4)*60*24*$D$4</x:f>
        <x:v>0</x:v>
      </x:c>
      <x:c r="L18" s="12" t="n">
        <x:f>$B18*IF($C18=1,$A$9,1)*$D18*$E18</x:f>
        <x:v>0</x:v>
      </x:c>
      <x:c r="M18" s="12" t="n">
        <x:f>L18*(60/$B$4)*60*24*$D$4</x:f>
        <x:v>0</x:v>
      </x:c>
    </x:row>
    <x:row r="19">
      <x:c r="A19" s="2" t="str">
        <x:v>Policy, QoS, security, AppQoE, and NWPI</x:v>
      </x:c>
      <x:c r="B19" s="11" t="n">
        <x:v>0</x:v>
      </x:c>
      <x:c r="C19" s="11" t="n">
        <x:v>1</x:v>
      </x:c>
      <x:c r="D19" s="11" t="n">
        <x:v>20</x:v>
      </x:c>
      <x:c r="E19" s="11" t="n">
        <x:v>2</x:v>
      </x:c>
      <x:c r="F19" s="2" t="str">
        <x:v>service/app combos / device</x:v>
      </x:c>
      <x:c r="G19" s="2" t="str">
        <x:v>Policy QoS, security, AppQoE, Cloud OnRamp, NWPI, and ThousandEyes-style opt-in resource status metrics.</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t="str">
        <x:v>Underlay, cellular, energy, routing, and lifecycle</x:v>
      </x:c>
      <x:c r="B20" s="11" t="n">
        <x:v>0</x:v>
      </x:c>
      <x:c r="C20" s="11" t="n">
        <x:v>1</x:v>
      </x:c>
      <x:c r="D20" s="11" t="n">
        <x:v>16</x:v>
      </x:c>
      <x:c r="E20" s="11" t="n">
        <x:v>2</x:v>
      </x:c>
      <x:c r="F20" s="2" t="str">
        <x:v>resource combos / device</x:v>
      </x:c>
      <x:c r="G20" s="2" t="str">
        <x:v>Underlay, cellular, hardware energy, routing services, branch services, compliance, and management-security groups.</x:v>
      </x:c>
      <x:c r="H20" s="12" t="n">
        <x:f>$B20*IF($C20=1,$A$7,1)*$D20*$E20</x:f>
        <x:v>0</x:v>
      </x:c>
      <x:c r="I20" s="12" t="n">
        <x:f>H20*(60/$B$4)*60*24*$D$4</x:f>
        <x:v>0</x:v>
      </x:c>
      <x:c r="J20" s="12" t="n">
        <x:f>$B20*IF($C20=1,$A$8,1)*$D20*$E20</x:f>
        <x:v>0</x:v>
      </x:c>
      <x:c r="K20" s="12" t="n">
        <x:f>J20*(60/$B$4)*60*24*$D$4</x:f>
        <x:v>0</x:v>
      </x:c>
      <x:c r="L20" s="12" t="n">
        <x:f>$B20*IF($C20=1,$A$9,1)*$D20*$E20</x:f>
        <x:v>0</x:v>
      </x:c>
      <x:c r="M20" s="12" t="n">
        <x:f>L20*(60/$B$4)*60*24*$D$4</x:f>
        <x:v>0</x:v>
      </x:c>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Nexus Dashboard Fabrics Scenarios</x:v>
      </x:c>
      <x:c r="B1" s="4" t="str">
        <x:v>Nexus Dashboard Fabrics Scenarios</x:v>
      </x:c>
      <x:c r="C1" s="4" t="str">
        <x:v>Nexus Dashboard Fabrics Scenarios</x:v>
      </x:c>
      <x:c r="D1" s="4" t="str">
        <x:v>Nexus Dashboard Fabrics Scenarios</x:v>
      </x:c>
      <x:c r="E1" s="4" t="str">
        <x:v>Nexus Dashboard Fabrics Scenarios</x:v>
      </x:c>
      <x:c r="F1" s="4" t="str">
        <x:v>Nexus Dashboard Fabrics Scenarios</x:v>
      </x:c>
      <x:c r="G1" s="4" t="str">
        <x:v>Nexus Dashboard Fabrics Scenarios</x:v>
      </x:c>
      <x:c r="H1" s="4" t="str">
        <x:v>Nexus Dashboard Fabrics Scenarios</x:v>
      </x:c>
      <x:c r="I1" s="4" t="str">
        <x:v>Nexus Dashboard Fabrics Scenarios</x:v>
      </x:c>
      <x:c r="J1" s="4" t="str">
        <x:v>Nexus Dashboard Fabrics Scenarios</x:v>
      </x:c>
      <x:c r="K1" s="4" t="str">
        <x:v>Nexus Dashboard Fabrics Scenarios</x:v>
      </x:c>
      <x:c r="L1" s="4" t="str">
        <x:v>Nexus Dashboard Fabrics Scenarios</x:v>
      </x:c>
      <x:c r="M1" s="4" t="str">
        <x:v>Nexus Dashboard Fabrics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Nexus Dashboard, NDFC, Insights, Orchestrator, and Data Broker profile with controller resources and anomaly/service status groups.</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SUM(H13:H16)</x:f>
        <x:v>128</x:v>
      </x:c>
      <x:c r="C7" s="12" t="n">
        <x:f>B7*(60/$B$4)</x:f>
        <x:v>128</x:v>
      </x:c>
      <x:c r="D7" s="12" t="n">
        <x:f>C7*60*24</x:f>
        <x:v>184320</x:v>
      </x:c>
      <x:c r="E7" s="12" t="n">
        <x:f>D7*$D$4</x:f>
        <x:v>5610240</x:v>
      </x:c>
      <x:c r="F7" s="2"/>
      <x:c r="G7" s="2"/>
      <x:c r="H7" s="2"/>
      <x:c r="I7" s="2"/>
      <x:c r="J7" s="2"/>
      <x:c r="K7" s="2"/>
      <x:c r="L7" s="2"/>
      <x:c r="M7" s="2"/>
    </x:row>
    <x:row r="8">
      <x:c r="A8" s="11" t="n">
        <x:v>100</x:v>
      </x:c>
      <x:c r="B8" s="12" t="n">
        <x:f>SUM(J13:J16)</x:f>
        <x:v>848</x:v>
      </x:c>
      <x:c r="C8" s="12" t="n">
        <x:f>B8*(60/$B$4)</x:f>
        <x:v>848</x:v>
      </x:c>
      <x:c r="D8" s="12" t="n">
        <x:f>C8*60*24</x:f>
        <x:v>1221120</x:v>
      </x:c>
      <x:c r="E8" s="12" t="n">
        <x:f>D8*$D$4</x:f>
        <x:v>37167840</x:v>
      </x:c>
      <x:c r="F8" s="2"/>
      <x:c r="G8" s="2"/>
      <x:c r="H8" s="2"/>
      <x:c r="I8" s="2"/>
      <x:c r="J8" s="2"/>
      <x:c r="K8" s="2"/>
      <x:c r="L8" s="2"/>
      <x:c r="M8" s="2"/>
    </x:row>
    <x:row r="9">
      <x:c r="A9" s="11" t="n">
        <x:v>1000</x:v>
      </x:c>
      <x:c r="B9" s="12" t="n">
        <x:f>SUM(L13:L16)</x:f>
        <x:v>8048</x:v>
      </x:c>
      <x:c r="C9" s="12" t="n">
        <x:f>B9*(60/$B$4)</x:f>
        <x:v>8048</x:v>
      </x:c>
      <x:c r="D9" s="12" t="n">
        <x:f>C9*60*24</x:f>
        <x:v>11589120</x:v>
      </x:c>
      <x:c r="E9" s="12" t="n">
        <x:f>D9*$D$4</x:f>
        <x:v>352743840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 scrape, and service health</x:v>
      </x:c>
      <x:c r="B13" s="11" t="n">
        <x:v>1</x:v>
      </x:c>
      <x:c r="C13" s="11" t="n">
        <x:v>0</x:v>
      </x:c>
      <x:c r="D13" s="11" t="n">
        <x:v>12</x:v>
      </x:c>
      <x:c r="E13" s="11" t="n">
        <x:v>4</x:v>
      </x:c>
      <x:c r="F13" s="2" t="str">
        <x:v>API/service groups</x:v>
      </x:c>
      <x:c r="G13" s="2" t="str">
        <x:v>API duration/errors/rate limits plus service skipped, unavailable, endpoint error, partial success, and last success metrics.</x:v>
      </x:c>
      <x:c r="H13" s="12" t="n">
        <x:f>$B13*IF($C13=1,$A$7,1)*$D13*$E13</x:f>
        <x:v>48</x:v>
      </x:c>
      <x:c r="I13" s="12" t="n">
        <x:f>H13*(60/$B$4)*60*24*$D$4</x:f>
        <x:v>2103840</x:v>
      </x:c>
      <x:c r="J13" s="12" t="n">
        <x:f>$B13*IF($C13=1,$A$8,1)*$D13*$E13</x:f>
        <x:v>48</x:v>
      </x:c>
      <x:c r="K13" s="12" t="n">
        <x:f>J13*(60/$B$4)*60*24*$D$4</x:f>
        <x:v>2103840</x:v>
      </x:c>
      <x:c r="L13" s="12" t="n">
        <x:f>$B13*IF($C13=1,$A$9,1)*$D13*$E13</x:f>
        <x:v>48</x:v>
      </x:c>
      <x:c r="M13" s="12" t="n">
        <x:f>L13*(60/$B$4)*60*24*$D$4</x:f>
        <x:v>2103840</x:v>
      </x:c>
    </x:row>
    <x:row r="14">
      <x:c r="A14" s="2" t="str">
        <x:v>Controller resources and fabric state</x:v>
      </x:c>
      <x:c r="B14" s="11" t="n">
        <x:v>1</x:v>
      </x:c>
      <x:c r="C14" s="11" t="n">
        <x:v>1</x:v>
      </x:c>
      <x:c r="D14" s="11" t="n">
        <x:v>3</x:v>
      </x:c>
      <x:c r="E14" s="11" t="n">
        <x:v>1</x:v>
      </x:c>
      <x:c r="F14" s="2" t="str">
        <x:v>status/resource metrics</x:v>
      </x:c>
      <x:c r="G14" s="2" t="str">
        <x:v>Resource/status, storage, fabric health, config compliance, endpoint/vPC counts, deployment status, and reused device/interface metrics.</x:v>
      </x:c>
      <x:c r="H14" s="12" t="n">
        <x:f>$B14*IF($C14=1,$A$7,1)*$D14*$E14</x:f>
        <x:v>30</x:v>
      </x:c>
      <x:c r="I14" s="12" t="n">
        <x:f>H14*(60/$B$4)*60*24*$D$4</x:f>
        <x:v>1314900</x:v>
      </x:c>
      <x:c r="J14" s="12" t="n">
        <x:f>$B14*IF($C14=1,$A$8,1)*$D14*$E14</x:f>
        <x:v>300</x:v>
      </x:c>
      <x:c r="K14" s="12" t="n">
        <x:f>J14*(60/$B$4)*60*24*$D$4</x:f>
        <x:v>13149000</x:v>
      </x:c>
      <x:c r="L14" s="12" t="n">
        <x:f>$B14*IF($C14=1,$A$9,1)*$D14*$E14</x:f>
        <x:v>3000</x:v>
      </x:c>
      <x:c r="M14" s="12" t="n">
        <x:f>L14*(60/$B$4)*60*24*$D$4</x:f>
        <x:v>131490000</x:v>
      </x:c>
    </x:row>
    <x:row r="15">
      <x:c r="A15" s="2" t="str">
        <x:v>Insights anomalies</x:v>
      </x:c>
      <x:c r="B15" s="11" t="n">
        <x:v>1</x:v>
      </x:c>
      <x:c r="C15" s="11" t="n">
        <x:v>1</x:v>
      </x:c>
      <x:c r="D15" s="11" t="n">
        <x:v>2</x:v>
      </x:c>
      <x:c r="E15" s="11" t="n">
        <x:v>1</x:v>
      </x:c>
      <x:c r="F15" s="2" t="str">
        <x:v>severity/status combos</x:v>
      </x:c>
      <x:c r="G15" s="2" t="str">
        <x:v>Insights anomaly/advisory active and count metrics by site, fabric, severity, category, and status.</x:v>
      </x:c>
      <x:c r="H15" s="12" t="n">
        <x:f>$B15*IF($C15=1,$A$7,1)*$D15*$E15</x:f>
        <x:v>20</x:v>
      </x:c>
      <x:c r="I15" s="12" t="n">
        <x:f>H15*(60/$B$4)*60*24*$D$4</x:f>
        <x:v>876600</x:v>
      </x:c>
      <x:c r="J15" s="12" t="n">
        <x:f>$B15*IF($C15=1,$A$8,1)*$D15*$E15</x:f>
        <x:v>200</x:v>
      </x:c>
      <x:c r="K15" s="12" t="n">
        <x:f>J15*(60/$B$4)*60*24*$D$4</x:f>
        <x:v>8766000</x:v>
      </x:c>
      <x:c r="L15" s="12" t="n">
        <x:f>$B15*IF($C15=1,$A$9,1)*$D15*$E15</x:f>
        <x:v>2000</x:v>
      </x:c>
      <x:c r="M15" s="12" t="n">
        <x:f>L15*(60/$B$4)*60*24*$D$4</x:f>
        <x:v>87660000</x:v>
      </x:c>
    </x:row>
    <x:row r="16">
      <x:c r="A16" s="2" t="str">
        <x:v>Orchestrator and Data Broker</x:v>
      </x:c>
      <x:c r="B16" s="11" t="n">
        <x:v>1</x:v>
      </x:c>
      <x:c r="C16" s="11" t="n">
        <x:v>1</x:v>
      </x:c>
      <x:c r="D16" s="11" t="n">
        <x:v>3</x:v>
      </x:c>
      <x:c r="E16" s="11" t="n">
        <x:v>1</x:v>
      </x:c>
      <x:c r="F16" s="2" t="str">
        <x:v>status/count metrics</x:v>
      </x:c>
      <x:c r="G16" s="2" t="str">
        <x:v>NDO/OneManage deployment and policy drift plus Data Broker rule/session/status counts.</x:v>
      </x:c>
      <x:c r="H16" s="12" t="n">
        <x:f>$B16*IF($C16=1,$A$7,1)*$D16*$E16</x:f>
        <x:v>30</x:v>
      </x:c>
      <x:c r="I16" s="12" t="n">
        <x:f>H16*(60/$B$4)*60*24*$D$4</x:f>
        <x:v>1314900</x:v>
      </x:c>
      <x:c r="J16" s="12" t="n">
        <x:f>$B16*IF($C16=1,$A$8,1)*$D16*$E16</x:f>
        <x:v>300</x:v>
      </x:c>
      <x:c r="K16" s="12" t="n">
        <x:f>J16*(60/$B$4)*60*24*$D$4</x:f>
        <x:v>13149000</x:v>
      </x:c>
      <x:c r="L16" s="12" t="n">
        <x:f>$B16*IF($C16=1,$A$9,1)*$D16*$E16</x:f>
        <x:v>3000</x:v>
      </x:c>
      <x:c r="M16" s="12" t="n">
        <x:f>L16*(60/$B$4)*60*24*$D$4</x:f>
        <x:v>131490000</x:v>
      </x:c>
    </x:row>
    <x:row r="17">
      <x:c r="A17" s="2"/>
      <x:c r="B17" s="2"/>
      <x:c r="C17" s="2"/>
      <x:c r="D17" s="2"/>
      <x:c r="E17" s="2"/>
      <x:c r="F17" s="2"/>
      <x:c r="G17" s="2"/>
      <x:c r="H17" s="2"/>
      <x:c r="I17" s="2"/>
      <x:c r="J17" s="2"/>
      <x:c r="K17" s="2"/>
      <x:c r="L17" s="2"/>
      <x:c r="M17" s="2"/>
    </x:row>
    <x:row r="18">
      <x:c r="A18" s="2"/>
      <x:c r="B18" s="2"/>
      <x:c r="C18" s="2"/>
      <x:c r="D18" s="2"/>
      <x:c r="E18" s="2"/>
      <x:c r="F18" s="2"/>
      <x:c r="G18" s="2"/>
      <x:c r="H18" s="2"/>
      <x:c r="I18" s="2"/>
      <x:c r="J18" s="2"/>
      <x:c r="K18" s="2"/>
      <x:c r="L18" s="2"/>
      <x:c r="M18" s="2"/>
    </x:row>
    <x:row r="19">
      <x:c r="A19" s="2"/>
      <x:c r="B19" s="2"/>
      <x:c r="C19" s="2"/>
      <x:c r="D19" s="2"/>
      <x:c r="E19" s="2"/>
      <x:c r="F19" s="2"/>
      <x:c r="G19" s="2"/>
      <x:c r="H19" s="2"/>
      <x:c r="I19" s="2"/>
      <x:c r="J19" s="2"/>
      <x:c r="K19" s="2"/>
      <x:c r="L19" s="2"/>
      <x:c r="M19" s="2"/>
    </x:row>
    <x:row r="20">
      <x:c r="A20" s="2"/>
      <x:c r="B20" s="2"/>
      <x:c r="C20" s="2"/>
      <x:c r="D20" s="2"/>
      <x:c r="E20" s="2"/>
      <x:c r="F20" s="2"/>
      <x:c r="G20" s="2"/>
      <x:c r="H20" s="2"/>
      <x:c r="I20" s="2"/>
      <x:c r="J20" s="2"/>
      <x:c r="K20" s="2"/>
      <x:c r="L20" s="2"/>
      <x:c r="M20" s="2"/>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4.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ACI Fabrics Scenarios</x:v>
      </x:c>
      <x:c r="B1" s="4" t="str">
        <x:v>ACI Fabrics Scenarios</x:v>
      </x:c>
      <x:c r="C1" s="4" t="str">
        <x:v>ACI Fabrics Scenarios</x:v>
      </x:c>
      <x:c r="D1" s="4" t="str">
        <x:v>ACI Fabrics Scenarios</x:v>
      </x:c>
      <x:c r="E1" s="4" t="str">
        <x:v>ACI Fabrics Scenarios</x:v>
      </x:c>
      <x:c r="F1" s="4" t="str">
        <x:v>ACI Fabrics Scenarios</x:v>
      </x:c>
      <x:c r="G1" s="4" t="str">
        <x:v>ACI Fabrics Scenarios</x:v>
      </x:c>
      <x:c r="H1" s="4" t="str">
        <x:v>ACI Fabrics Scenarios</x:v>
      </x:c>
      <x:c r="I1" s="4" t="str">
        <x:v>ACI Fabrics Scenarios</x:v>
      </x:c>
      <x:c r="J1" s="4" t="str">
        <x:v>ACI Fabrics Scenarios</x:v>
      </x:c>
      <x:c r="K1" s="4" t="str">
        <x:v>ACI Fabrics Scenarios</x:v>
      </x:c>
      <x:c r="L1" s="4" t="str">
        <x:v>ACI Fabrics Scenarios</x:v>
      </x:c>
      <x:c r="M1" s="4" t="str">
        <x:v>ACI Fabrics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APIC profile for fabric resources, faults, endpoints, tenant objects, topology, and interface symptoms.</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SUM(H13:H16)</x:f>
        <x:v>120</x:v>
      </x:c>
      <x:c r="C7" s="12" t="n">
        <x:f>B7*(60/$B$4)</x:f>
        <x:v>120</x:v>
      </x:c>
      <x:c r="D7" s="12" t="n">
        <x:f>C7*60*24</x:f>
        <x:v>172800</x:v>
      </x:c>
      <x:c r="E7" s="12" t="n">
        <x:f>D7*$D$4</x:f>
        <x:v>5259600</x:v>
      </x:c>
      <x:c r="F7" s="2"/>
      <x:c r="G7" s="2"/>
      <x:c r="H7" s="2"/>
      <x:c r="I7" s="2"/>
      <x:c r="J7" s="2"/>
      <x:c r="K7" s="2"/>
      <x:c r="L7" s="2"/>
      <x:c r="M7" s="2"/>
    </x:row>
    <x:row r="8">
      <x:c r="A8" s="11" t="n">
        <x:v>100</x:v>
      </x:c>
      <x:c r="B8" s="12" t="n">
        <x:f>SUM(J13:J16)</x:f>
        <x:v>840</x:v>
      </x:c>
      <x:c r="C8" s="12" t="n">
        <x:f>B8*(60/$B$4)</x:f>
        <x:v>840</x:v>
      </x:c>
      <x:c r="D8" s="12" t="n">
        <x:f>C8*60*24</x:f>
        <x:v>1209600</x:v>
      </x:c>
      <x:c r="E8" s="12" t="n">
        <x:f>D8*$D$4</x:f>
        <x:v>36817200</x:v>
      </x:c>
      <x:c r="F8" s="2"/>
      <x:c r="G8" s="2"/>
      <x:c r="H8" s="2"/>
      <x:c r="I8" s="2"/>
      <x:c r="J8" s="2"/>
      <x:c r="K8" s="2"/>
      <x:c r="L8" s="2"/>
      <x:c r="M8" s="2"/>
    </x:row>
    <x:row r="9">
      <x:c r="A9" s="11" t="n">
        <x:v>1000</x:v>
      </x:c>
      <x:c r="B9" s="12" t="n">
        <x:f>SUM(L13:L16)</x:f>
        <x:v>8040</x:v>
      </x:c>
      <x:c r="C9" s="12" t="n">
        <x:f>B9*(60/$B$4)</x:f>
        <x:v>8040</x:v>
      </x:c>
      <x:c r="D9" s="12" t="n">
        <x:f>C9*60*24</x:f>
        <x:v>11577600</x:v>
      </x:c>
      <x:c r="E9" s="12" t="n">
        <x:f>D9*$D$4</x:f>
        <x:v>352393200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APIC API and scrape health</x:v>
      </x:c>
      <x:c r="B13" s="11" t="n">
        <x:v>1</x:v>
      </x:c>
      <x:c r="C13" s="11" t="n">
        <x:v>0</x:v>
      </x:c>
      <x:c r="D13" s="11" t="n">
        <x:v>10</x:v>
      </x:c>
      <x:c r="E13" s="11" t="n">
        <x:v>4</x:v>
      </x:c>
      <x:c r="F13" s="2" t="str">
        <x:v>API endpoint families</x:v>
      </x:c>
      <x:c r="G13" s="2" t="str">
        <x:v>APIC controller availability, endpoint errors, API duration/errors/rate limits, partial success, and last success.</x:v>
      </x:c>
      <x:c r="H13" s="12" t="n">
        <x:f>$B13*IF($C13=1,$A$7,1)*$D13*$E13</x:f>
        <x:v>40</x:v>
      </x:c>
      <x:c r="I13" s="12" t="n">
        <x:f>H13*(60/$B$4)*60*24*$D$4</x:f>
        <x:v>1753200</x:v>
      </x:c>
      <x:c r="J13" s="12" t="n">
        <x:f>$B13*IF($C13=1,$A$8,1)*$D13*$E13</x:f>
        <x:v>40</x:v>
      </x:c>
      <x:c r="K13" s="12" t="n">
        <x:f>J13*(60/$B$4)*60*24*$D$4</x:f>
        <x:v>1753200</x:v>
      </x:c>
      <x:c r="L13" s="12" t="n">
        <x:f>$B13*IF($C13=1,$A$9,1)*$D13*$E13</x:f>
        <x:v>40</x:v>
      </x:c>
      <x:c r="M13" s="12" t="n">
        <x:f>L13*(60/$B$4)*60*24*$D$4</x:f>
        <x:v>1753200</x:v>
      </x:c>
    </x:row>
    <x:row r="14">
      <x:c r="A14" s="2" t="str">
        <x:v>Fabric resources and faults</x:v>
      </x:c>
      <x:c r="B14" s="11" t="n">
        <x:v>1</x:v>
      </x:c>
      <x:c r="C14" s="11" t="n">
        <x:v>1</x:v>
      </x:c>
      <x:c r="D14" s="11" t="n">
        <x:v>3</x:v>
      </x:c>
      <x:c r="E14" s="11" t="n">
        <x:v>1</x:v>
      </x:c>
      <x:c r="F14" s="2" t="str">
        <x:v>status/fault dimensions</x:v>
      </x:c>
      <x:c r="G14" s="2" t="str">
        <x:v>Managed-object metadata/status/counts, fabric health, node availability, and active fault metrics.</x:v>
      </x:c>
      <x:c r="H14" s="12" t="n">
        <x:f>$B14*IF($C14=1,$A$7,1)*$D14*$E14</x:f>
        <x:v>30</x:v>
      </x:c>
      <x:c r="I14" s="12" t="n">
        <x:f>H14*(60/$B$4)*60*24*$D$4</x:f>
        <x:v>1314900</x:v>
      </x:c>
      <x:c r="J14" s="12" t="n">
        <x:f>$B14*IF($C14=1,$A$8,1)*$D14*$E14</x:f>
        <x:v>300</x:v>
      </x:c>
      <x:c r="K14" s="12" t="n">
        <x:f>J14*(60/$B$4)*60*24*$D$4</x:f>
        <x:v>13149000</x:v>
      </x:c>
      <x:c r="L14" s="12" t="n">
        <x:f>$B14*IF($C14=1,$A$9,1)*$D14*$E14</x:f>
        <x:v>3000</x:v>
      </x:c>
      <x:c r="M14" s="12" t="n">
        <x:f>L14*(60/$B$4)*60*24*$D$4</x:f>
        <x:v>131490000</x:v>
      </x:c>
    </x:row>
    <x:row r="15">
      <x:c r="A15" s="2" t="str">
        <x:v>Endpoints and tenant objects</x:v>
      </x:c>
      <x:c r="B15" s="11" t="n">
        <x:v>1</x:v>
      </x:c>
      <x:c r="C15" s="11" t="n">
        <x:v>1</x:v>
      </x:c>
      <x:c r="D15" s="11" t="n">
        <x:v>2</x:v>
      </x:c>
      <x:c r="E15" s="11" t="n">
        <x:v>1</x:v>
      </x:c>
      <x:c r="F15" s="2" t="str">
        <x:v>EPG/VRF/BD/status combos</x:v>
      </x:c>
      <x:c r="G15" s="2" t="str">
        <x:v>Endpoint presence/count and tenant/VRF/bridge-domain/EPG object status/count metrics.</x:v>
      </x:c>
      <x:c r="H15" s="12" t="n">
        <x:f>$B15*IF($C15=1,$A$7,1)*$D15*$E15</x:f>
        <x:v>20</x:v>
      </x:c>
      <x:c r="I15" s="12" t="n">
        <x:f>H15*(60/$B$4)*60*24*$D$4</x:f>
        <x:v>876600</x:v>
      </x:c>
      <x:c r="J15" s="12" t="n">
        <x:f>$B15*IF($C15=1,$A$8,1)*$D15*$E15</x:f>
        <x:v>200</x:v>
      </x:c>
      <x:c r="K15" s="12" t="n">
        <x:f>J15*(60/$B$4)*60*24*$D$4</x:f>
        <x:v>8766000</x:v>
      </x:c>
      <x:c r="L15" s="12" t="n">
        <x:f>$B15*IF($C15=1,$A$9,1)*$D15*$E15</x:f>
        <x:v>2000</x:v>
      </x:c>
      <x:c r="M15" s="12" t="n">
        <x:f>L15*(60/$B$4)*60*24*$D$4</x:f>
        <x:v>87660000</x:v>
      </x:c>
    </x:row>
    <x:row r="16">
      <x:c r="A16" s="2" t="str">
        <x:v>Topology and interface symptoms</x:v>
      </x:c>
      <x:c r="B16" s="11" t="n">
        <x:v>1</x:v>
      </x:c>
      <x:c r="C16" s="11" t="n">
        <x:v>1</x:v>
      </x:c>
      <x:c r="D16" s="11" t="n">
        <x:v>3</x:v>
      </x:c>
      <x:c r="E16" s="11" t="n">
        <x:v>1</x:v>
      </x:c>
      <x:c r="F16" s="2" t="str">
        <x:v>interface/topology metrics</x:v>
      </x:c>
      <x:c r="G16" s="2" t="str">
        <x:v>Interface operational status, traffic/drop rate, packet rate, and topology neighbor information from APIC data.</x:v>
      </x:c>
      <x:c r="H16" s="12" t="n">
        <x:f>$B16*IF($C16=1,$A$7,1)*$D16*$E16</x:f>
        <x:v>30</x:v>
      </x:c>
      <x:c r="I16" s="12" t="n">
        <x:f>H16*(60/$B$4)*60*24*$D$4</x:f>
        <x:v>1314900</x:v>
      </x:c>
      <x:c r="J16" s="12" t="n">
        <x:f>$B16*IF($C16=1,$A$8,1)*$D16*$E16</x:f>
        <x:v>300</x:v>
      </x:c>
      <x:c r="K16" s="12" t="n">
        <x:f>J16*(60/$B$4)*60*24*$D$4</x:f>
        <x:v>13149000</x:v>
      </x:c>
      <x:c r="L16" s="12" t="n">
        <x:f>$B16*IF($C16=1,$A$9,1)*$D16*$E16</x:f>
        <x:v>3000</x:v>
      </x:c>
      <x:c r="M16" s="12" t="n">
        <x:f>L16*(60/$B$4)*60*24*$D$4</x:f>
        <x:v>131490000</x:v>
      </x:c>
    </x:row>
    <x:row r="17">
      <x:c r="A17" s="2"/>
      <x:c r="B17" s="2"/>
      <x:c r="C17" s="2"/>
      <x:c r="D17" s="2"/>
      <x:c r="E17" s="2"/>
      <x:c r="F17" s="2"/>
      <x:c r="G17" s="2"/>
      <x:c r="H17" s="2"/>
      <x:c r="I17" s="2"/>
      <x:c r="J17" s="2"/>
      <x:c r="K17" s="2"/>
      <x:c r="L17" s="2"/>
      <x:c r="M17" s="2"/>
    </x:row>
    <x:row r="18">
      <x:c r="A18" s="2"/>
      <x:c r="B18" s="2"/>
      <x:c r="C18" s="2"/>
      <x:c r="D18" s="2"/>
      <x:c r="E18" s="2"/>
      <x:c r="F18" s="2"/>
      <x:c r="G18" s="2"/>
      <x:c r="H18" s="2"/>
      <x:c r="I18" s="2"/>
      <x:c r="J18" s="2"/>
      <x:c r="K18" s="2"/>
      <x:c r="L18" s="2"/>
      <x:c r="M18" s="2"/>
    </x:row>
    <x:row r="19">
      <x:c r="A19" s="2"/>
      <x:c r="B19" s="2"/>
      <x:c r="C19" s="2"/>
      <x:c r="D19" s="2"/>
      <x:c r="E19" s="2"/>
      <x:c r="F19" s="2"/>
      <x:c r="G19" s="2"/>
      <x:c r="H19" s="2"/>
      <x:c r="I19" s="2"/>
      <x:c r="J19" s="2"/>
      <x:c r="K19" s="2"/>
      <x:c r="L19" s="2"/>
      <x:c r="M19" s="2"/>
    </x:row>
    <x:row r="20">
      <x:c r="A20" s="2"/>
      <x:c r="B20" s="2"/>
      <x:c r="C20" s="2"/>
      <x:c r="D20" s="2"/>
      <x:c r="E20" s="2"/>
      <x:c r="F20" s="2"/>
      <x:c r="G20" s="2"/>
      <x:c r="H20" s="2"/>
      <x:c r="I20" s="2"/>
      <x:c r="J20" s="2"/>
      <x:c r="K20" s="2"/>
      <x:c r="L20" s="2"/>
      <x:c r="M20" s="2"/>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5.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FMC Managed Firewalls Scenarios</x:v>
      </x:c>
      <x:c r="B1" s="4" t="str">
        <x:v>FMC Managed Firewalls Scenarios</x:v>
      </x:c>
      <x:c r="C1" s="4" t="str">
        <x:v>FMC Managed Firewalls Scenarios</x:v>
      </x:c>
      <x:c r="D1" s="4" t="str">
        <x:v>FMC Managed Firewalls Scenarios</x:v>
      </x:c>
      <x:c r="E1" s="4" t="str">
        <x:v>FMC Managed Firewalls Scenarios</x:v>
      </x:c>
      <x:c r="F1" s="4" t="str">
        <x:v>FMC Managed Firewalls Scenarios</x:v>
      </x:c>
      <x:c r="G1" s="4" t="str">
        <x:v>FMC Managed Firewalls Scenarios</x:v>
      </x:c>
      <x:c r="H1" s="4" t="str">
        <x:v>FMC Managed Firewalls Scenarios</x:v>
      </x:c>
      <x:c r="I1" s="4" t="str">
        <x:v>FMC Managed Firewalls Scenarios</x:v>
      </x:c>
      <x:c r="J1" s="4" t="str">
        <x:v>FMC Managed Firewalls Scenarios</x:v>
      </x:c>
      <x:c r="K1" s="4" t="str">
        <x:v>FMC Managed Firewalls Scenarios</x:v>
      </x:c>
      <x:c r="L1" s="4" t="str">
        <x:v>FMC Managed Firewalls Scenarios</x:v>
      </x:c>
      <x:c r="M1" s="4" t="str">
        <x:v>FMC Managed Firewalls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Secure Firewall Management Center profile for REST metrics. eStreamer event payloads are log volume, while this tab keeps receiver health/count MTS separate.</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SUM(H13:H18)</x:f>
        <x:v>612</x:v>
      </x:c>
      <x:c r="C7" s="12" t="n">
        <x:f>B7*(60/$B$4)</x:f>
        <x:v>612</x:v>
      </x:c>
      <x:c r="D7" s="12" t="n">
        <x:f>C7*60*24</x:f>
        <x:v>881280</x:v>
      </x:c>
      <x:c r="E7" s="12" t="n">
        <x:f>D7*$D$4</x:f>
        <x:v>26823960</x:v>
      </x:c>
      <x:c r="F7" s="2"/>
      <x:c r="G7" s="2"/>
      <x:c r="H7" s="2"/>
      <x:c r="I7" s="2"/>
      <x:c r="J7" s="2"/>
      <x:c r="K7" s="2"/>
      <x:c r="L7" s="2"/>
      <x:c r="M7" s="2"/>
    </x:row>
    <x:row r="8">
      <x:c r="A8" s="11" t="n">
        <x:v>100</x:v>
      </x:c>
      <x:c r="B8" s="12" t="n">
        <x:f>SUM(J13:J18)</x:f>
        <x:v>5742</x:v>
      </x:c>
      <x:c r="C8" s="12" t="n">
        <x:f>B8*(60/$B$4)</x:f>
        <x:v>5742</x:v>
      </x:c>
      <x:c r="D8" s="12" t="n">
        <x:f>C8*60*24</x:f>
        <x:v>8268480</x:v>
      </x:c>
      <x:c r="E8" s="12" t="n">
        <x:f>D8*$D$4</x:f>
        <x:v>251671860</x:v>
      </x:c>
      <x:c r="F8" s="2"/>
      <x:c r="G8" s="2"/>
      <x:c r="H8" s="2"/>
      <x:c r="I8" s="2"/>
      <x:c r="J8" s="2"/>
      <x:c r="K8" s="2"/>
      <x:c r="L8" s="2"/>
      <x:c r="M8" s="2"/>
    </x:row>
    <x:row r="9">
      <x:c r="A9" s="11" t="n">
        <x:v>1000</x:v>
      </x:c>
      <x:c r="B9" s="12" t="n">
        <x:f>SUM(L13:L18)</x:f>
        <x:v>57042</x:v>
      </x:c>
      <x:c r="C9" s="12" t="n">
        <x:f>B9*(60/$B$4)</x:f>
        <x:v>57042</x:v>
      </x:c>
      <x:c r="D9" s="12" t="n">
        <x:f>C9*60*24</x:f>
        <x:v>82140480</x:v>
      </x:c>
      <x:c r="E9" s="12" t="n">
        <x:f>D9*$D$4</x:f>
        <x:v>2500150860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REST API and scrape health</x:v>
      </x:c>
      <x:c r="B13" s="11" t="n">
        <x:v>1</x:v>
      </x:c>
      <x:c r="C13" s="11" t="n">
        <x:v>0</x:v>
      </x:c>
      <x:c r="D13" s="11" t="n">
        <x:v>14</x:v>
      </x:c>
      <x:c r="E13" s="11" t="n">
        <x:v>3</x:v>
      </x:c>
      <x:c r="F13" s="2" t="str">
        <x:v>API endpoint families</x:v>
      </x:c>
      <x:c r="G13" s="2" t="str">
        <x:v>FMC manager up, endpoint errors, API duration/errors/rate limits, partial success, and last success.</x:v>
      </x:c>
      <x:c r="H13" s="12" t="n">
        <x:f>$B13*IF($C13=1,$A$7,1)*$D13*$E13</x:f>
        <x:v>42</x:v>
      </x:c>
      <x:c r="I13" s="12" t="n">
        <x:f>H13*(60/$B$4)*60*24*$D$4</x:f>
        <x:v>1840860</x:v>
      </x:c>
      <x:c r="J13" s="12" t="n">
        <x:f>$B13*IF($C13=1,$A$8,1)*$D13*$E13</x:f>
        <x:v>42</x:v>
      </x:c>
      <x:c r="K13" s="12" t="n">
        <x:f>J13*(60/$B$4)*60*24*$D$4</x:f>
        <x:v>1840860</x:v>
      </x:c>
      <x:c r="L13" s="12" t="n">
        <x:f>$B13*IF($C13=1,$A$9,1)*$D13*$E13</x:f>
        <x:v>42</x:v>
      </x:c>
      <x:c r="M13" s="12" t="n">
        <x:f>L13*(60/$B$4)*60*24*$D$4</x:f>
        <x:v>1840860</x:v>
      </x:c>
    </x:row>
    <x:row r="14">
      <x:c r="A14" s="2" t="str">
        <x:v>Managed firewall inventory and status</x:v>
      </x:c>
      <x:c r="B14" s="11" t="n">
        <x:v>1</x:v>
      </x:c>
      <x:c r="C14" s="11" t="n">
        <x:v>1</x:v>
      </x:c>
      <x:c r="D14" s="11" t="n">
        <x:v>1</x:v>
      </x:c>
      <x:c r="E14" s="11" t="n">
        <x:v>4</x:v>
      </x:c>
      <x:c r="F14" s="2" t="str">
        <x:v>per firewall</x:v>
      </x:c>
      <x:c r="G14" s="2" t="str">
        <x:v>Managed object metadata, resource status, FMC-managed firewall availability, and device-up parity.</x:v>
      </x:c>
      <x:c r="H14" s="12" t="n">
        <x:f>$B14*IF($C14=1,$A$7,1)*$D14*$E14</x:f>
        <x:v>40</x:v>
      </x:c>
      <x:c r="I14" s="12" t="n">
        <x:f>H14*(60/$B$4)*60*24*$D$4</x:f>
        <x:v>1753200</x:v>
      </x:c>
      <x:c r="J14" s="12" t="n">
        <x:f>$B14*IF($C14=1,$A$8,1)*$D14*$E14</x:f>
        <x:v>400</x:v>
      </x:c>
      <x:c r="K14" s="12" t="n">
        <x:f>J14*(60/$B$4)*60*24*$D$4</x:f>
        <x:v>17532000</x:v>
      </x:c>
      <x:c r="L14" s="12" t="n">
        <x:f>$B14*IF($C14=1,$A$9,1)*$D14*$E14</x:f>
        <x:v>4000</x:v>
      </x:c>
      <x:c r="M14" s="12" t="n">
        <x:f>L14*(60/$B$4)*60*24*$D$4</x:f>
        <x:v>175320000</x:v>
      </x:c>
    </x:row>
    <x:row r="15">
      <x:c r="A15" s="2" t="str">
        <x:v>Interfaces, HA, VPN, and health</x:v>
      </x:c>
      <x:c r="B15" s="11" t="n">
        <x:v>1</x:v>
      </x:c>
      <x:c r="C15" s="11" t="n">
        <x:v>1</x:v>
      </x:c>
      <x:c r="D15" s="11" t="n">
        <x:v>12</x:v>
      </x:c>
      <x:c r="E15" s="11" t="n">
        <x:v>4</x:v>
      </x:c>
      <x:c r="F15" s="2" t="str">
        <x:v>interfaces/tunnels / firewall</x:v>
      </x:c>
      <x:c r="G15" s="2" t="str">
        <x:v>Interface, VPN, HA, and health status/count metrics scoped to managed firewalls.</x:v>
      </x:c>
      <x:c r="H15" s="12" t="n">
        <x:f>$B15*IF($C15=1,$A$7,1)*$D15*$E15</x:f>
        <x:v>480</x:v>
      </x:c>
      <x:c r="I15" s="12" t="n">
        <x:f>H15*(60/$B$4)*60*24*$D$4</x:f>
        <x:v>21038400</x:v>
      </x:c>
      <x:c r="J15" s="12" t="n">
        <x:f>$B15*IF($C15=1,$A$8,1)*$D15*$E15</x:f>
        <x:v>4800</x:v>
      </x:c>
      <x:c r="K15" s="12" t="n">
        <x:f>J15*(60/$B$4)*60*24*$D$4</x:f>
        <x:v>210384000</x:v>
      </x:c>
      <x:c r="L15" s="12" t="n">
        <x:f>$B15*IF($C15=1,$A$9,1)*$D15*$E15</x:f>
        <x:v>48000</x:v>
      </x:c>
      <x:c r="M15" s="12" t="n">
        <x:f>L15*(60/$B$4)*60*24*$D$4</x:f>
        <x:v>2103840000</x:v>
      </x:c>
    </x:row>
    <x:row r="16">
      <x:c r="A16" s="2" t="str">
        <x:v>Policy and deployment state</x:v>
      </x:c>
      <x:c r="B16" s="11" t="n">
        <x:v>1</x:v>
      </x:c>
      <x:c r="C16" s="11" t="n">
        <x:v>1</x:v>
      </x:c>
      <x:c r="D16" s="11" t="n">
        <x:v>3</x:v>
      </x:c>
      <x:c r="E16" s="11" t="n">
        <x:v>1</x:v>
      </x:c>
      <x:c r="F16" s="2" t="str">
        <x:v>status metrics / object</x:v>
      </x:c>
      <x:c r="G16" s="2" t="str">
        <x:v>Access policies, NAT/prefilter objects, deployments, and status/count metrics.</x:v>
      </x:c>
      <x:c r="H16" s="12" t="n">
        <x:f>$B16*IF($C16=1,$A$7,1)*$D16*$E16</x:f>
        <x:v>30</x:v>
      </x:c>
      <x:c r="I16" s="12" t="n">
        <x:f>H16*(60/$B$4)*60*24*$D$4</x:f>
        <x:v>1314900</x:v>
      </x:c>
      <x:c r="J16" s="12" t="n">
        <x:f>$B16*IF($C16=1,$A$8,1)*$D16*$E16</x:f>
        <x:v>300</x:v>
      </x:c>
      <x:c r="K16" s="12" t="n">
        <x:f>J16*(60/$B$4)*60*24*$D$4</x:f>
        <x:v>13149000</x:v>
      </x:c>
      <x:c r="L16" s="12" t="n">
        <x:f>$B16*IF($C16=1,$A$9,1)*$D16*$E16</x:f>
        <x:v>3000</x:v>
      </x:c>
      <x:c r="M16" s="12" t="n">
        <x:f>L16*(60/$B$4)*60*24*$D$4</x:f>
        <x:v>131490000</x:v>
      </x:c>
    </x:row>
    <x:row r="17">
      <x:c r="A17" s="2" t="str">
        <x:v>Audit and security event counts</x:v>
      </x:c>
      <x:c r="B17" s="11" t="n">
        <x:v>1</x:v>
      </x:c>
      <x:c r="C17" s="11" t="n">
        <x:v>1</x:v>
      </x:c>
      <x:c r="D17" s="11" t="n">
        <x:v>1</x:v>
      </x:c>
      <x:c r="E17" s="11" t="n">
        <x:v>2</x:v>
      </x:c>
      <x:c r="F17" s="2" t="str">
        <x:v>per record</x:v>
      </x:c>
      <x:c r="G17" s="2" t="str">
        <x:v>Audit and security-event count metrics. eStreamer event bodies are emitted as logs, not metric datapoints.</x:v>
      </x:c>
      <x:c r="H17" s="12" t="n">
        <x:f>$B17*IF($C17=1,$A$7,1)*$D17*$E17</x:f>
        <x:v>20</x:v>
      </x:c>
      <x:c r="I17" s="12" t="n">
        <x:f>H17*(60/$B$4)*60*24*$D$4</x:f>
        <x:v>876600</x:v>
      </x:c>
      <x:c r="J17" s="12" t="n">
        <x:f>$B17*IF($C17=1,$A$8,1)*$D17*$E17</x:f>
        <x:v>200</x:v>
      </x:c>
      <x:c r="K17" s="12" t="n">
        <x:f>J17*(60/$B$4)*60*24*$D$4</x:f>
        <x:v>8766000</x:v>
      </x:c>
      <x:c r="L17" s="12" t="n">
        <x:f>$B17*IF($C17=1,$A$9,1)*$D17*$E17</x:f>
        <x:v>2000</x:v>
      </x:c>
      <x:c r="M17" s="12" t="n">
        <x:f>L17*(60/$B$4)*60*24*$D$4</x:f>
        <x:v>87660000</x:v>
      </x:c>
    </x:row>
    <x:row r="18">
      <x:c r="A18" s="2" t="str">
        <x:v>eStreamer receiver health</x:v>
      </x:c>
      <x:c r="B18" s="11" t="n">
        <x:v>0</x:v>
      </x:c>
      <x:c r="C18" s="11" t="n">
        <x:v>0</x:v>
      </x:c>
      <x:c r="D18" s="11" t="n">
        <x:v>4</x:v>
      </x:c>
      <x:c r="E18" s="11" t="n">
        <x:v>2</x:v>
      </x:c>
      <x:c r="F18" s="2" t="str">
        <x:v>event types</x:v>
      </x:c>
      <x:c r="G18" s="2" t="str">
        <x:v>Connection, intrusion, intrusion packet, and file event stream health assumptions; event payload volume is log-oriented.</x:v>
      </x:c>
      <x:c r="H18" s="12" t="n">
        <x:f>$B18*IF($C18=1,$A$7,1)*$D18*$E18</x:f>
        <x:v>0</x:v>
      </x:c>
      <x:c r="I18" s="12" t="n">
        <x:f>H18*(60/$B$4)*60*24*$D$4</x:f>
        <x:v>0</x:v>
      </x:c>
      <x:c r="J18" s="12" t="n">
        <x:f>$B18*IF($C18=1,$A$8,1)*$D18*$E18</x:f>
        <x:v>0</x:v>
      </x:c>
      <x:c r="K18" s="12" t="n">
        <x:f>J18*(60/$B$4)*60*24*$D$4</x:f>
        <x:v>0</x:v>
      </x:c>
      <x:c r="L18" s="12" t="n">
        <x:f>$B18*IF($C18=1,$A$9,1)*$D18*$E18</x:f>
        <x:v>0</x:v>
      </x:c>
      <x:c r="M18" s="12" t="n">
        <x:f>L18*(60/$B$4)*60*24*$D$4</x:f>
        <x:v>0</x:v>
      </x:c>
    </x:row>
    <x:row r="19">
      <x:c r="A19" s="2"/>
      <x:c r="B19" s="2"/>
      <x:c r="C19" s="2"/>
      <x:c r="D19" s="2"/>
      <x:c r="E19" s="2"/>
      <x:c r="F19" s="2"/>
      <x:c r="G19" s="2"/>
      <x:c r="H19" s="2"/>
      <x:c r="I19" s="2"/>
      <x:c r="J19" s="2"/>
      <x:c r="K19" s="2"/>
      <x:c r="L19" s="2"/>
      <x:c r="M19" s="2"/>
    </x:row>
    <x:row r="20">
      <x:c r="A20" s="2"/>
      <x:c r="B20" s="2"/>
      <x:c r="C20" s="2"/>
      <x:c r="D20" s="2"/>
      <x:c r="E20" s="2"/>
      <x:c r="F20" s="2"/>
      <x:c r="G20" s="2"/>
      <x:c r="H20" s="2"/>
      <x:c r="I20" s="2"/>
      <x:c r="J20" s="2"/>
      <x:c r="K20" s="2"/>
      <x:c r="L20" s="2"/>
      <x:c r="M20" s="2"/>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6.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ISE Endpoints Scenarios</x:v>
      </x:c>
      <x:c r="B1" s="4" t="str">
        <x:v>ISE Endpoints Scenarios</x:v>
      </x:c>
      <x:c r="C1" s="4" t="str">
        <x:v>ISE Endpoints Scenarios</x:v>
      </x:c>
      <x:c r="D1" s="4" t="str">
        <x:v>ISE Endpoints Scenarios</x:v>
      </x:c>
      <x:c r="E1" s="4" t="str">
        <x:v>ISE Endpoints Scenarios</x:v>
      </x:c>
      <x:c r="F1" s="4" t="str">
        <x:v>ISE Endpoints Scenarios</x:v>
      </x:c>
      <x:c r="G1" s="4" t="str">
        <x:v>ISE Endpoints Scenarios</x:v>
      </x:c>
      <x:c r="H1" s="4" t="str">
        <x:v>ISE Endpoints Scenarios</x:v>
      </x:c>
      <x:c r="I1" s="4" t="str">
        <x:v>ISE Endpoints Scenarios</x:v>
      </x:c>
      <x:c r="J1" s="4" t="str">
        <x:v>ISE Endpoints Scenarios</x:v>
      </x:c>
      <x:c r="K1" s="4" t="str">
        <x:v>ISE Endpoints Scenarios</x:v>
      </x:c>
      <x:c r="L1" s="4" t="str">
        <x:v>ISE Endpoints Scenarios</x:v>
      </x:c>
      <x:c r="M1" s="4" t="str">
        <x:v>ISE Endpoints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Cisco ISE REST profile with deployment, network device, endpoint/session, auth, policy, and certificate/licensing groups. pxGrid and Data Connect are editable opt-ins.</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SUM(H13:H20)</x:f>
        <x:v>356</x:v>
      </x:c>
      <x:c r="C7" s="12" t="n">
        <x:f>B7*(60/$B$4)</x:f>
        <x:v>356</x:v>
      </x:c>
      <x:c r="D7" s="12" t="n">
        <x:f>C7*60*24</x:f>
        <x:v>512640</x:v>
      </x:c>
      <x:c r="E7" s="12" t="n">
        <x:f>D7*$D$4</x:f>
        <x:v>15603480</x:v>
      </x:c>
      <x:c r="F7" s="2"/>
      <x:c r="G7" s="2"/>
      <x:c r="H7" s="2"/>
      <x:c r="I7" s="2"/>
      <x:c r="J7" s="2"/>
      <x:c r="K7" s="2"/>
      <x:c r="L7" s="2"/>
      <x:c r="M7" s="2"/>
    </x:row>
    <x:row r="8">
      <x:c r="A8" s="11" t="n">
        <x:v>100</x:v>
      </x:c>
      <x:c r="B8" s="12" t="n">
        <x:f>SUM(J13:J20)</x:f>
        <x:v>2696</x:v>
      </x:c>
      <x:c r="C8" s="12" t="n">
        <x:f>B8*(60/$B$4)</x:f>
        <x:v>2696</x:v>
      </x:c>
      <x:c r="D8" s="12" t="n">
        <x:f>C8*60*24</x:f>
        <x:v>3882240</x:v>
      </x:c>
      <x:c r="E8" s="12" t="n">
        <x:f>D8*$D$4</x:f>
        <x:v>118165680</x:v>
      </x:c>
      <x:c r="F8" s="2"/>
      <x:c r="G8" s="2"/>
      <x:c r="H8" s="2"/>
      <x:c r="I8" s="2"/>
      <x:c r="J8" s="2"/>
      <x:c r="K8" s="2"/>
      <x:c r="L8" s="2"/>
      <x:c r="M8" s="2"/>
    </x:row>
    <x:row r="9">
      <x:c r="A9" s="11" t="n">
        <x:v>1000</x:v>
      </x:c>
      <x:c r="B9" s="12" t="n">
        <x:f>SUM(L13:L20)</x:f>
        <x:v>26096</x:v>
      </x:c>
      <x:c r="C9" s="12" t="n">
        <x:f>B9*(60/$B$4)</x:f>
        <x:v>26096</x:v>
      </x:c>
      <x:c r="D9" s="12" t="n">
        <x:f>C9*60*24</x:f>
        <x:v>37578240</x:v>
      </x:c>
      <x:c r="E9" s="12" t="n">
        <x:f>D9*$D$4</x:f>
        <x:v>1143787680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API, scrape, and Data Connect health</x:v>
      </x:c>
      <x:c r="B13" s="11" t="n">
        <x:v>1</x:v>
      </x:c>
      <x:c r="C13" s="11" t="n">
        <x:v>0</x:v>
      </x:c>
      <x:c r="D13" s="11" t="n">
        <x:v>32</x:v>
      </x:c>
      <x:c r="E13" s="11" t="n">
        <x:v>3</x:v>
      </x:c>
      <x:c r="F13" s="2" t="str">
        <x:v>endpoint/query families</x:v>
      </x:c>
      <x:c r="G13" s="2" t="str">
        <x:v>ISE API request duration/errors/rate limits, Data Connect query duration/rows/errors, partial success, and last success.</x:v>
      </x:c>
      <x:c r="H13" s="12" t="n">
        <x:f>$B13*IF($C13=1,$A$7,1)*$D13*$E13</x:f>
        <x:v>96</x:v>
      </x:c>
      <x:c r="I13" s="12" t="n">
        <x:f>H13*(60/$B$4)*60*24*$D$4</x:f>
        <x:v>4207680</x:v>
      </x:c>
      <x:c r="J13" s="12" t="n">
        <x:f>$B13*IF($C13=1,$A$8,1)*$D13*$E13</x:f>
        <x:v>96</x:v>
      </x:c>
      <x:c r="K13" s="12" t="n">
        <x:f>J13*(60/$B$4)*60*24*$D$4</x:f>
        <x:v>4207680</x:v>
      </x:c>
      <x:c r="L13" s="12" t="n">
        <x:f>$B13*IF($C13=1,$A$9,1)*$D13*$E13</x:f>
        <x:v>96</x:v>
      </x:c>
      <x:c r="M13" s="12" t="n">
        <x:f>L13*(60/$B$4)*60*24*$D$4</x:f>
        <x:v>4207680</x:v>
      </x:c>
    </x:row>
    <x:row r="14">
      <x:c r="A14" s="2" t="str">
        <x:v>Deployment nodes and services</x:v>
      </x:c>
      <x:c r="B14" s="11" t="n">
        <x:v>1</x:v>
      </x:c>
      <x:c r="C14" s="11" t="n">
        <x:v>1</x:v>
      </x:c>
      <x:c r="D14" s="11" t="n">
        <x:v>4</x:v>
      </x:c>
      <x:c r="E14" s="11" t="n">
        <x:v>4</x:v>
      </x:c>
      <x:c r="F14" s="2" t="str">
        <x:v>persona/service metrics</x:v>
      </x:c>
      <x:c r="G14" s="2" t="str">
        <x:v>Controller up, deployment node/persona status, service unavailable/skipped, and endpoint scrape errors.</x:v>
      </x:c>
      <x:c r="H14" s="12" t="n">
        <x:f>$B14*IF($C14=1,$A$7,1)*$D14*$E14</x:f>
        <x:v>160</x:v>
      </x:c>
      <x:c r="I14" s="12" t="n">
        <x:f>H14*(60/$B$4)*60*24*$D$4</x:f>
        <x:v>7012800</x:v>
      </x:c>
      <x:c r="J14" s="12" t="n">
        <x:f>$B14*IF($C14=1,$A$8,1)*$D14*$E14</x:f>
        <x:v>1600</x:v>
      </x:c>
      <x:c r="K14" s="12" t="n">
        <x:f>J14*(60/$B$4)*60*24*$D$4</x:f>
        <x:v>70128000</x:v>
      </x:c>
      <x:c r="L14" s="12" t="n">
        <x:f>$B14*IF($C14=1,$A$9,1)*$D14*$E14</x:f>
        <x:v>16000</x:v>
      </x:c>
      <x:c r="M14" s="12" t="n">
        <x:f>L14*(60/$B$4)*60*24*$D$4</x:f>
        <x:v>701280000</x:v>
      </x:c>
    </x:row>
    <x:row r="15">
      <x:c r="A15" s="2" t="str">
        <x:v>Network devices</x:v>
      </x:c>
      <x:c r="B15" s="11" t="n">
        <x:v>1</x:v>
      </x:c>
      <x:c r="C15" s="11" t="n">
        <x:v>1</x:v>
      </x:c>
      <x:c r="D15" s="11" t="n">
        <x:v>1</x:v>
      </x:c>
      <x:c r="E15" s="11" t="n">
        <x:v>3</x:v>
      </x:c>
      <x:c r="F15" s="2" t="str">
        <x:v>per device</x:v>
      </x:c>
      <x:c r="G15" s="2" t="str">
        <x:v>Network access device resource info/status/counts.</x:v>
      </x:c>
      <x:c r="H15" s="12" t="n">
        <x:f>$B15*IF($C15=1,$A$7,1)*$D15*$E15</x:f>
        <x:v>30</x:v>
      </x:c>
      <x:c r="I15" s="12" t="n">
        <x:f>H15*(60/$B$4)*60*24*$D$4</x:f>
        <x:v>1314900</x:v>
      </x:c>
      <x:c r="J15" s="12" t="n">
        <x:f>$B15*IF($C15=1,$A$8,1)*$D15*$E15</x:f>
        <x:v>300</x:v>
      </x:c>
      <x:c r="K15" s="12" t="n">
        <x:f>J15*(60/$B$4)*60*24*$D$4</x:f>
        <x:v>13149000</x:v>
      </x:c>
      <x:c r="L15" s="12" t="n">
        <x:f>$B15*IF($C15=1,$A$9,1)*$D15*$E15</x:f>
        <x:v>3000</x:v>
      </x:c>
      <x:c r="M15" s="12" t="n">
        <x:f>L15*(60/$B$4)*60*24*$D$4</x:f>
        <x:v>131490000</x:v>
      </x:c>
    </x:row>
    <x:row r="16">
      <x:c r="A16" s="2" t="str">
        <x:v>Endpoints and sessions</x:v>
      </x:c>
      <x:c r="B16" s="11" t="n">
        <x:v>1</x:v>
      </x:c>
      <x:c r="C16" s="11" t="n">
        <x:v>1</x:v>
      </x:c>
      <x:c r="D16" s="11" t="n">
        <x:v>1</x:v>
      </x:c>
      <x:c r="E16" s="11" t="n">
        <x:v>3</x:v>
      </x:c>
      <x:c r="F16" s="2" t="str">
        <x:v>state metrics / object</x:v>
      </x:c>
      <x:c r="G16" s="2" t="str">
        <x:v>Endpoint status, active session count, posture status, and session evidence.</x:v>
      </x:c>
      <x:c r="H16" s="12" t="n">
        <x:f>$B16*IF($C16=1,$A$7,1)*$D16*$E16</x:f>
        <x:v>30</x:v>
      </x:c>
      <x:c r="I16" s="12" t="n">
        <x:f>H16*(60/$B$4)*60*24*$D$4</x:f>
        <x:v>1314900</x:v>
      </x:c>
      <x:c r="J16" s="12" t="n">
        <x:f>$B16*IF($C16=1,$A$8,1)*$D16*$E16</x:f>
        <x:v>300</x:v>
      </x:c>
      <x:c r="K16" s="12" t="n">
        <x:f>J16*(60/$B$4)*60*24*$D$4</x:f>
        <x:v>13149000</x:v>
      </x:c>
      <x:c r="L16" s="12" t="n">
        <x:f>$B16*IF($C16=1,$A$9,1)*$D16*$E16</x:f>
        <x:v>3000</x:v>
      </x:c>
      <x:c r="M16" s="12" t="n">
        <x:f>L16*(60/$B$4)*60*24*$D$4</x:f>
        <x:v>131490000</x:v>
      </x:c>
    </x:row>
    <x:row r="17">
      <x:c r="A17" s="2" t="str">
        <x:v>Auth, accounting, posture, profiler, and TrustSec</x:v>
      </x:c>
      <x:c r="B17" s="11" t="n">
        <x:v>1</x:v>
      </x:c>
      <x:c r="C17" s="11" t="n">
        <x:v>1</x:v>
      </x:c>
      <x:c r="D17" s="11" t="n">
        <x:v>1</x:v>
      </x:c>
      <x:c r="E17" s="11" t="n">
        <x:v>2</x:v>
      </x:c>
      <x:c r="F17" s="2" t="str">
        <x:v>per record</x:v>
      </x:c>
      <x:c r="G17" s="2" t="str">
        <x:v>Authentication failures, accounting, posture, profiler, TrustSec, alarms, and related count/status metrics.</x:v>
      </x:c>
      <x:c r="H17" s="12" t="n">
        <x:f>$B17*IF($C17=1,$A$7,1)*$D17*$E17</x:f>
        <x:v>20</x:v>
      </x:c>
      <x:c r="I17" s="12" t="n">
        <x:f>H17*(60/$B$4)*60*24*$D$4</x:f>
        <x:v>876600</x:v>
      </x:c>
      <x:c r="J17" s="12" t="n">
        <x:f>$B17*IF($C17=1,$A$8,1)*$D17*$E17</x:f>
        <x:v>200</x:v>
      </x:c>
      <x:c r="K17" s="12" t="n">
        <x:f>J17*(60/$B$4)*60*24*$D$4</x:f>
        <x:v>8766000</x:v>
      </x:c>
      <x:c r="L17" s="12" t="n">
        <x:f>$B17*IF($C17=1,$A$9,1)*$D17*$E17</x:f>
        <x:v>2000</x:v>
      </x:c>
      <x:c r="M17" s="12" t="n">
        <x:f>L17*(60/$B$4)*60*24*$D$4</x:f>
        <x:v>87660000</x:v>
      </x:c>
    </x:row>
    <x:row r="18">
      <x:c r="A18" s="2" t="str">
        <x:v>Policy, certificates, licensing, and webhooks</x:v>
      </x:c>
      <x:c r="B18" s="11" t="n">
        <x:v>1</x:v>
      </x:c>
      <x:c r="C18" s="11" t="n">
        <x:v>1</x:v>
      </x:c>
      <x:c r="D18" s="11" t="n">
        <x:v>2</x:v>
      </x:c>
      <x:c r="E18" s="11" t="n">
        <x:v>1</x:v>
      </x:c>
      <x:c r="F18" s="2" t="str">
        <x:v>status metrics / object</x:v>
      </x:c>
      <x:c r="G18" s="2" t="str">
        <x:v>Policy status, certificate expiration, license status, webhooks, and aggregated counts.</x:v>
      </x:c>
      <x:c r="H18" s="12" t="n">
        <x:f>$B18*IF($C18=1,$A$7,1)*$D18*$E18</x:f>
        <x:v>20</x:v>
      </x:c>
      <x:c r="I18" s="12" t="n">
        <x:f>H18*(60/$B$4)*60*24*$D$4</x:f>
        <x:v>876600</x:v>
      </x:c>
      <x:c r="J18" s="12" t="n">
        <x:f>$B18*IF($C18=1,$A$8,1)*$D18*$E18</x:f>
        <x:v>200</x:v>
      </x:c>
      <x:c r="K18" s="12" t="n">
        <x:f>J18*(60/$B$4)*60*24*$D$4</x:f>
        <x:v>8766000</x:v>
      </x:c>
      <x:c r="L18" s="12" t="n">
        <x:f>$B18*IF($C18=1,$A$9,1)*$D18*$E18</x:f>
        <x:v>2000</x:v>
      </x:c>
      <x:c r="M18" s="12" t="n">
        <x:f>L18*(60/$B$4)*60*24*$D$4</x:f>
        <x:v>87660000</x:v>
      </x:c>
    </x:row>
    <x:row r="19">
      <x:c r="A19" s="2" t="str">
        <x:v>pxGrid services and subscriptions</x:v>
      </x:c>
      <x:c r="B19" s="11" t="n">
        <x:v>0</x:v>
      </x:c>
      <x:c r="C19" s="11" t="n">
        <x:v>1</x:v>
      </x:c>
      <x:c r="D19" s="11" t="n">
        <x:v>1</x:v>
      </x:c>
      <x:c r="E19" s="11" t="n">
        <x:v>2</x:v>
      </x:c>
      <x:c r="F19" s="2" t="str">
        <x:v>per service/topic</x:v>
      </x:c>
      <x:c r="G19" s="2" t="str">
        <x:v>pxGrid service lookup status, configured subscriptions, and pxGrid REST query objects.</x:v>
      </x:c>
      <x:c r="H19" s="12" t="n">
        <x:f>$B19*IF($C19=1,$A$7,1)*$D19*$E19</x:f>
        <x:v>0</x:v>
      </x:c>
      <x:c r="I19" s="12" t="n">
        <x:f>H19*(60/$B$4)*60*24*$D$4</x:f>
        <x:v>0</x:v>
      </x:c>
      <x:c r="J19" s="12" t="n">
        <x:f>$B19*IF($C19=1,$A$8,1)*$D19*$E19</x:f>
        <x:v>0</x:v>
      </x:c>
      <x:c r="K19" s="12" t="n">
        <x:f>J19*(60/$B$4)*60*24*$D$4</x:f>
        <x:v>0</x:v>
      </x:c>
      <x:c r="L19" s="12" t="n">
        <x:f>$B19*IF($C19=1,$A$9,1)*$D19*$E19</x:f>
        <x:v>0</x:v>
      </x:c>
      <x:c r="M19" s="12" t="n">
        <x:f>L19*(60/$B$4)*60*24*$D$4</x:f>
        <x:v>0</x:v>
      </x:c>
    </x:row>
    <x:row r="20">
      <x:c r="A20" s="2" t="str">
        <x:v>Data Connect read-only views</x:v>
      </x:c>
      <x:c r="B20" s="11" t="n">
        <x:v>0</x:v>
      </x:c>
      <x:c r="C20" s="11" t="n">
        <x:v>1</x:v>
      </x:c>
      <x:c r="D20" s="11" t="n">
        <x:v>1</x:v>
      </x:c>
      <x:c r="E20" s="11" t="n">
        <x:v>2</x:v>
      </x:c>
      <x:c r="F20" s="2" t="str">
        <x:v>per row</x:v>
      </x:c>
      <x:c r="G20" s="2" t="str">
        <x:v>Read-only view rows across node, network device, policy, TACACS/RADIUS, posture, profiler, threat, and identity-group views.</x:v>
      </x:c>
      <x:c r="H20" s="12" t="n">
        <x:f>$B20*IF($C20=1,$A$7,1)*$D20*$E20</x:f>
        <x:v>0</x:v>
      </x:c>
      <x:c r="I20" s="12" t="n">
        <x:f>H20*(60/$B$4)*60*24*$D$4</x:f>
        <x:v>0</x:v>
      </x:c>
      <x:c r="J20" s="12" t="n">
        <x:f>$B20*IF($C20=1,$A$8,1)*$D20*$E20</x:f>
        <x:v>0</x:v>
      </x:c>
      <x:c r="K20" s="12" t="n">
        <x:f>J20*(60/$B$4)*60*24*$D$4</x:f>
        <x:v>0</x:v>
      </x:c>
      <x:c r="L20" s="12" t="n">
        <x:f>$B20*IF($C20=1,$A$9,1)*$D20*$E20</x:f>
        <x:v>0</x:v>
      </x:c>
      <x:c r="M20" s="12" t="n">
        <x:f>L20*(60/$B$4)*60*24*$D$4</x:f>
        <x:v>0</x:v>
      </x:c>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7.xml><?xml version="1.0" encoding="utf-8"?>
<x:worksheet xmlns:x="http://schemas.openxmlformats.org/spreadsheetml/2006/main">
  <x:sheetFormatPr defaultRowHeight="15"/>
  <x:cols>
    <x:col min="1" max="1" width="21.110000610351562" hidden="0" customWidth="1"/>
    <x:col min="2" max="2" width="25.559999465942383" hidden="0" customWidth="1"/>
    <x:col min="3" max="3" width="10" hidden="0" customWidth="1"/>
    <x:col min="4" max="4" width="15.5600004196167" hidden="0" customWidth="1"/>
    <x:col min="5" max="5" width="10" hidden="0" customWidth="1"/>
    <x:col min="6" max="6" width="21.110000610351562" hidden="0" customWidth="1"/>
    <x:col min="7" max="7" width="40"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IOS XR Routers Scenarios</x:v>
      </x:c>
      <x:c r="B1" s="4" t="str">
        <x:v>IOS XR Routers Scenarios</x:v>
      </x:c>
      <x:c r="C1" s="4" t="str">
        <x:v>IOS XR Routers Scenarios</x:v>
      </x:c>
      <x:c r="D1" s="4" t="str">
        <x:v>IOS XR Routers Scenarios</x:v>
      </x:c>
      <x:c r="E1" s="4" t="str">
        <x:v>IOS XR Routers Scenarios</x:v>
      </x:c>
      <x:c r="F1" s="4" t="str">
        <x:v>IOS XR Routers Scenarios</x:v>
      </x:c>
      <x:c r="G1" s="4" t="str">
        <x:v>IOS XR Routers Scenarios</x:v>
      </x:c>
      <x:c r="H1" s="4" t="str">
        <x:v>IOS XR Routers Scenarios</x:v>
      </x:c>
      <x:c r="I1" s="4" t="str">
        <x:v>IOS XR Routers Scenarios</x:v>
      </x:c>
      <x:c r="J1" s="4" t="str">
        <x:v>IOS XR Routers Scenarios</x:v>
      </x:c>
      <x:c r="K1" s="4" t="str">
        <x:v>IOS XR Routers Scenarios</x:v>
      </x:c>
      <x:c r="L1" s="4" t="str">
        <x:v>IOS XR Routers Scenarios</x:v>
      </x:c>
      <x:c r="M1" s="4" t="str">
        <x:v>IOS XR Routers Scenarios</x:v>
      </x:c>
    </x:row>
    <x:row r="2">
      <x:c r="A2" s="6" t="str">
        <x:v>Editable platform scenario assumptions for 10, 100, and 1000 devices or platform units. Yellow cells can be tuned for local interface, counter, optic, API, topology, endpoint, client, policy, resource, and path counts.</x:v>
      </x:c>
      <x:c r="B2" s="6" t="str">
        <x:v>Editable platform scenario assumptions for 10, 100, and 1000 devices or platform units. Yellow cells can be tuned for local interface, counter, optic, API, topology, endpoint, client, policy, resource, and path counts.</x:v>
      </x:c>
      <x:c r="C2" s="6" t="str">
        <x:v>Editable platform scenario assumptions for 10, 100, and 1000 devices or platform units. Yellow cells can be tuned for local interface, counter, optic, API, topology, endpoint, client, policy, resource, and path counts.</x:v>
      </x:c>
      <x:c r="D2" s="6" t="str">
        <x:v>Editable platform scenario assumptions for 10, 100, and 1000 devices or platform units. Yellow cells can be tuned for local interface, counter, optic, API, topology, endpoint, client, policy, resource, and path counts.</x:v>
      </x:c>
      <x:c r="E2" s="6" t="str">
        <x:v>Editable platform scenario assumptions for 10, 100, and 1000 devices or platform units. Yellow cells can be tuned for local interface, counter, optic, API, topology, endpoint, client, policy, resource, and path counts.</x:v>
      </x:c>
      <x:c r="F2" s="6" t="str">
        <x:v>Editable platform scenario assumptions for 10, 100, and 1000 devices or platform units. Yellow cells can be tuned for local interface, counter, optic, API, topology, endpoint, client, policy, resource, and path counts.</x:v>
      </x:c>
      <x:c r="G2" s="6" t="str">
        <x:v>Editable platform scenario assumptions for 10, 100, and 1000 devices or platform units. Yellow cells can be tuned for local interface, counter, optic, API, topology, endpoint, client, policy, resource, and path counts.</x:v>
      </x:c>
      <x:c r="H2" s="6" t="str">
        <x:v>Editable platform scenario assumptions for 10, 100, and 1000 devices or platform units. Yellow cells can be tuned for local interface, counter, optic, API, topology, endpoint, client, policy, resource, and path counts.</x:v>
      </x:c>
      <x:c r="I2" s="6" t="str">
        <x:v>Editable platform scenario assumptions for 10, 100, and 1000 devices or platform units. Yellow cells can be tuned for local interface, counter, optic, API, topology, endpoint, client, policy, resource, and path counts.</x:v>
      </x:c>
      <x:c r="J2" s="6" t="str">
        <x:v>Editable platform scenario assumptions for 10, 100, and 1000 devices or platform units. Yellow cells can be tuned for local interface, counter, optic, API, topology, endpoint, client, policy, resource, and path counts.</x:v>
      </x:c>
      <x:c r="K2" s="6" t="str">
        <x:v>Editable platform scenario assumptions for 10, 100, and 1000 devices or platform units. Yellow cells can be tuned for local interface, counter, optic, API, topology, endpoint, client, policy, resource, and path counts.</x:v>
      </x:c>
      <x:c r="L2" s="6" t="str">
        <x:v>Editable platform scenario assumptions for 10, 100, and 1000 devices or platform units. Yellow cells can be tuned for local interface, counter, optic, API, topology, endpoint, client, policy, resource, and path counts.</x:v>
      </x:c>
      <x:c r="M2" s="6" t="str">
        <x:v>Editable platform scenario assumptions for 10, 100, and 1000 devices or platform units. Yellow cells can be tuned for local interface, counter, optic, API, topology, endpoint, client, policy, resource, and path counts.</x:v>
      </x:c>
    </x:row>
    <x:row r="3">
      <x:c r="A3" s="2"/>
      <x:c r="B3" s="2"/>
      <x:c r="C3" s="2"/>
      <x:c r="D3" s="2"/>
      <x:c r="E3" s="2"/>
      <x:c r="F3" s="2"/>
      <x:c r="G3" s="2"/>
      <x:c r="H3" s="2"/>
      <x:c r="I3" s="2"/>
      <x:c r="J3" s="2"/>
      <x:c r="K3" s="2"/>
      <x:c r="L3" s="2"/>
      <x:c r="M3" s="2"/>
    </x:row>
    <x:row r="4">
      <x:c r="A4" s="2" t="str">
        <x:v>Collection interval seconds</x:v>
      </x:c>
      <x:c r="B4" s="10" t="n">
        <x:v>60</x:v>
      </x:c>
      <x:c r="C4" s="10" t="str">
        <x:v>Days per month</x:v>
      </x:c>
      <x:c r="D4" s="10" t="n">
        <x:v>30.4375</x:v>
      </x:c>
      <x:c r="E4" s="2" t="str">
        <x:v>Profile</x:v>
      </x:c>
      <x:c r="F4" s="2" t="str">
        <x:v>IOS XR gNMI/MDT profile with core system, interface, optics, routing, QoS, topology, and self-health path groups. Route and flow tables are high-volume opt-ins.</x:v>
      </x:c>
      <x:c r="G4" s="2"/>
      <x:c r="H4" s="2"/>
      <x:c r="I4" s="2"/>
      <x:c r="J4" s="2"/>
      <x:c r="K4" s="2"/>
      <x:c r="L4" s="2"/>
      <x:c r="M4" s="2"/>
    </x:row>
    <x:row r="5">
      <x:c r="A5" s="2"/>
      <x:c r="B5" s="2"/>
      <x:c r="C5" s="2"/>
      <x:c r="D5" s="2"/>
      <x:c r="E5" s="2"/>
      <x:c r="F5" s="2"/>
      <x:c r="G5" s="2"/>
      <x:c r="H5" s="2"/>
      <x:c r="I5" s="2"/>
      <x:c r="J5" s="2"/>
      <x:c r="K5" s="2"/>
      <x:c r="L5" s="2"/>
      <x:c r="M5" s="2"/>
    </x:row>
    <x:row r="6">
      <x:c r="A6" s="9" t="str">
        <x:v>Devices</x:v>
      </x:c>
      <x:c r="B6" s="9" t="str">
        <x:v>Active MTS</x:v>
      </x:c>
      <x:c r="C6" s="9" t="str">
        <x:v>DP / minute</x:v>
      </x:c>
      <x:c r="D6" s="9" t="str">
        <x:v>DP / day</x:v>
      </x:c>
      <x:c r="E6" s="9" t="str">
        <x:v>DP / month</x:v>
      </x:c>
      <x:c r="F6" s="2"/>
      <x:c r="G6" s="2"/>
      <x:c r="H6" s="2"/>
      <x:c r="I6" s="2"/>
      <x:c r="J6" s="2"/>
      <x:c r="K6" s="2"/>
      <x:c r="L6" s="2"/>
      <x:c r="M6" s="2"/>
    </x:row>
    <x:row r="7">
      <x:c r="A7" s="11" t="n">
        <x:v>10</x:v>
      </x:c>
      <x:c r="B7" s="12" t="n">
        <x:f>SUM(H13:H20)</x:f>
        <x:v>21792</x:v>
      </x:c>
      <x:c r="C7" s="12" t="n">
        <x:f>B7*(60/$B$4)</x:f>
        <x:v>21792</x:v>
      </x:c>
      <x:c r="D7" s="12" t="n">
        <x:f>C7*60*24</x:f>
        <x:v>31380480</x:v>
      </x:c>
      <x:c r="E7" s="12" t="n">
        <x:f>D7*$D$4</x:f>
        <x:v>955143360</x:v>
      </x:c>
      <x:c r="F7" s="2"/>
      <x:c r="G7" s="2"/>
      <x:c r="H7" s="2"/>
      <x:c r="I7" s="2"/>
      <x:c r="J7" s="2"/>
      <x:c r="K7" s="2"/>
      <x:c r="L7" s="2"/>
      <x:c r="M7" s="2"/>
    </x:row>
    <x:row r="8">
      <x:c r="A8" s="11" t="n">
        <x:v>100</x:v>
      </x:c>
      <x:c r="B8" s="12" t="n">
        <x:f>SUM(J13:J20)</x:f>
        <x:v>217632</x:v>
      </x:c>
      <x:c r="C8" s="12" t="n">
        <x:f>B8*(60/$B$4)</x:f>
        <x:v>217632</x:v>
      </x:c>
      <x:c r="D8" s="12" t="n">
        <x:f>C8*60*24</x:f>
        <x:v>313390080</x:v>
      </x:c>
      <x:c r="E8" s="12" t="n">
        <x:f>D8*$D$4</x:f>
        <x:v>9538810560</x:v>
      </x:c>
      <x:c r="F8" s="2"/>
      <x:c r="G8" s="2"/>
      <x:c r="H8" s="2"/>
      <x:c r="I8" s="2"/>
      <x:c r="J8" s="2"/>
      <x:c r="K8" s="2"/>
      <x:c r="L8" s="2"/>
      <x:c r="M8" s="2"/>
    </x:row>
    <x:row r="9">
      <x:c r="A9" s="11" t="n">
        <x:v>1000</x:v>
      </x:c>
      <x:c r="B9" s="12" t="n">
        <x:f>SUM(L13:L20)</x:f>
        <x:v>2176032</x:v>
      </x:c>
      <x:c r="C9" s="12" t="n">
        <x:f>B9*(60/$B$4)</x:f>
        <x:v>2176032</x:v>
      </x:c>
      <x:c r="D9" s="12" t="n">
        <x:f>C9*60*24</x:f>
        <x:v>3133486080</x:v>
      </x:c>
      <x:c r="E9" s="12" t="n">
        <x:f>D9*$D$4</x:f>
        <x:v>95375482560</x:v>
      </x:c>
      <x:c r="F9" s="2"/>
      <x:c r="G9" s="2"/>
      <x:c r="H9" s="2"/>
      <x:c r="I9" s="2"/>
      <x:c r="J9" s="2"/>
      <x:c r="K9" s="2"/>
      <x:c r="L9" s="2"/>
      <x:c r="M9" s="2"/>
    </x:row>
    <x:row r="10">
      <x:c r="A10" s="2"/>
      <x:c r="B10" s="2"/>
      <x:c r="C10" s="2"/>
      <x:c r="D10" s="2"/>
      <x:c r="E10" s="2"/>
      <x:c r="F10" s="2"/>
      <x:c r="G10" s="2"/>
      <x:c r="H10" s="2"/>
      <x:c r="I10" s="2"/>
      <x:c r="J10" s="2"/>
      <x:c r="K10" s="2"/>
      <x:c r="L10" s="2"/>
      <x:c r="M10" s="2"/>
    </x:row>
    <x:row r="11">
      <x:c r="A11" s="2"/>
      <x:c r="B11" s="2"/>
      <x:c r="C11" s="2"/>
      <x:c r="D11" s="2"/>
      <x:c r="E11" s="2"/>
      <x:c r="F11" s="2"/>
      <x:c r="G11" s="2"/>
      <x:c r="H11" s="2"/>
      <x:c r="I11" s="2"/>
      <x:c r="J11" s="2"/>
      <x:c r="K11" s="2"/>
      <x:c r="L11" s="2"/>
      <x:c r="M11" s="2"/>
    </x:row>
    <x:row r="12">
      <x:c r="A12" s="9" t="str">
        <x:v>Metric group</x:v>
      </x:c>
      <x:c r="B12" s="9" t="str">
        <x:v>Enabled</x:v>
      </x:c>
      <x:c r="C12" s="9" t="str">
        <x:v>Scales with device count</x:v>
      </x:c>
      <x:c r="D12" s="9" t="str">
        <x:v>Units per basis</x:v>
      </x:c>
      <x:c r="E12" s="9" t="str">
        <x:v>MTS per unit</x:v>
      </x:c>
      <x:c r="F12" s="9" t="str">
        <x:v>Unit / volume driver</x:v>
      </x:c>
      <x:c r="G12" s="9" t="str">
        <x:v>Notes</x:v>
      </x:c>
      <x:c r="H12" s="9" t="str">
        <x:v>10 active MTS</x:v>
      </x:c>
      <x:c r="I12" s="9" t="str">
        <x:v>10 DP / month</x:v>
      </x:c>
      <x:c r="J12" s="9" t="str">
        <x:v>100 active MTS</x:v>
      </x:c>
      <x:c r="K12" s="9" t="str">
        <x:v>100 DP / month</x:v>
      </x:c>
      <x:c r="L12" s="9" t="str">
        <x:v>1000 active MTS</x:v>
      </x:c>
      <x:c r="M12" s="9" t="str">
        <x:v>1000 DP / month</x:v>
      </x:c>
    </x:row>
    <x:row r="13">
      <x:c r="A13" s="2" t="str">
        <x:v>Receiver and gNMI/MDT health</x:v>
      </x:c>
      <x:c r="B13" s="11" t="n">
        <x:v>1</x:v>
      </x:c>
      <x:c r="C13" s="11" t="n">
        <x:v>0</x:v>
      </x:c>
      <x:c r="D13" s="11" t="n">
        <x:v>4</x:v>
      </x:c>
      <x:c r="E13" s="11" t="n">
        <x:v>8</x:v>
      </x:c>
      <x:c r="F13" s="2" t="str">
        <x:v>subscriptions / target</x:v>
      </x:c>
      <x:c r="G13" s="2" t="str">
        <x:v>Receiver active subscriptions, updates, decode errors, unsupported paths, reconnects, dropped datapoints, compact GPB payloads, and last success.</x:v>
      </x:c>
      <x:c r="H13" s="12" t="n">
        <x:f>$B13*IF($C13=1,$A$7,1)*$D13*$E13</x:f>
        <x:v>32</x:v>
      </x:c>
      <x:c r="I13" s="12" t="n">
        <x:f>H13*(60/$B$4)*60*24*$D$4</x:f>
        <x:v>1402560</x:v>
      </x:c>
      <x:c r="J13" s="12" t="n">
        <x:f>$B13*IF($C13=1,$A$8,1)*$D13*$E13</x:f>
        <x:v>32</x:v>
      </x:c>
      <x:c r="K13" s="12" t="n">
        <x:f>J13*(60/$B$4)*60*24*$D$4</x:f>
        <x:v>1402560</x:v>
      </x:c>
      <x:c r="L13" s="12" t="n">
        <x:f>$B13*IF($C13=1,$A$9,1)*$D13*$E13</x:f>
        <x:v>32</x:v>
      </x:c>
      <x:c r="M13" s="12" t="n">
        <x:f>L13*(60/$B$4)*60*24*$D$4</x:f>
        <x:v>1402560</x:v>
      </x:c>
    </x:row>
    <x:row r="14">
      <x:c r="A14" s="2" t="str">
        <x:v>System, platform, and environment</x:v>
      </x:c>
      <x:c r="B14" s="11" t="n">
        <x:v>1</x:v>
      </x:c>
      <x:c r="C14" s="11" t="n">
        <x:v>1</x:v>
      </x:c>
      <x:c r="D14" s="11" t="n">
        <x:v>40</x:v>
      </x:c>
      <x:c r="E14" s="11" t="n">
        <x:v>6</x:v>
      </x:c>
      <x:c r="F14" s="2" t="str">
        <x:v>nodes/components / device</x:v>
      </x:c>
      <x:c r="G14" s="2" t="str">
        <x:v>CPU, memory, filesystem, platform components/native state, sensors, and alarms.</x:v>
      </x:c>
      <x:c r="H14" s="12" t="n">
        <x:f>$B14*IF($C14=1,$A$7,1)*$D14*$E14</x:f>
        <x:v>2400</x:v>
      </x:c>
      <x:c r="I14" s="12" t="n">
        <x:f>H14*(60/$B$4)*60*24*$D$4</x:f>
        <x:v>105192000</x:v>
      </x:c>
      <x:c r="J14" s="12" t="n">
        <x:f>$B14*IF($C14=1,$A$8,1)*$D14*$E14</x:f>
        <x:v>24000</x:v>
      </x:c>
      <x:c r="K14" s="12" t="n">
        <x:f>J14*(60/$B$4)*60*24*$D$4</x:f>
        <x:v>1051920000</x:v>
      </x:c>
      <x:c r="L14" s="12" t="n">
        <x:f>$B14*IF($C14=1,$A$9,1)*$D14*$E14</x:f>
        <x:v>240000</x:v>
      </x:c>
      <x:c r="M14" s="12" t="n">
        <x:f>L14*(60/$B$4)*60*24*$D$4</x:f>
        <x:v>10519200000</x:v>
      </x:c>
    </x:row>
    <x:row r="15">
      <x:c r="A15" s="2" t="str">
        <x:v>Interfaces and subinterfaces</x:v>
      </x:c>
      <x:c r="B15" s="11" t="n">
        <x:v>1</x:v>
      </x:c>
      <x:c r="C15" s="11" t="n">
        <x:v>1</x:v>
      </x:c>
      <x:c r="D15" s="11" t="n">
        <x:v>80</x:v>
      </x:c>
      <x:c r="E15" s="11" t="n">
        <x:v>12</x:v>
      </x:c>
      <x:c r="F15" s="2" t="str">
        <x:v>interfaces / device</x:v>
      </x:c>
      <x:c r="G15" s="2" t="str">
        <x:v>OpenConfig interface state, native counters/rates, IPv4/IPv6 subinterface state. High-volume.</x:v>
      </x:c>
      <x:c r="H15" s="12" t="n">
        <x:f>$B15*IF($C15=1,$A$7,1)*$D15*$E15</x:f>
        <x:v>9600</x:v>
      </x:c>
      <x:c r="I15" s="12" t="n">
        <x:f>H15*(60/$B$4)*60*24*$D$4</x:f>
        <x:v>420768000</x:v>
      </x:c>
      <x:c r="J15" s="12" t="n">
        <x:f>$B15*IF($C15=1,$A$8,1)*$D15*$E15</x:f>
        <x:v>96000</x:v>
      </x:c>
      <x:c r="K15" s="12" t="n">
        <x:f>J15*(60/$B$4)*60*24*$D$4</x:f>
        <x:v>4207680000</x:v>
      </x:c>
      <x:c r="L15" s="12" t="n">
        <x:f>$B15*IF($C15=1,$A$9,1)*$D15*$E15</x:f>
        <x:v>960000</x:v>
      </x:c>
      <x:c r="M15" s="12" t="n">
        <x:f>L15*(60/$B$4)*60*24*$D$4</x:f>
        <x:v>42076800000</x:v>
      </x:c>
    </x:row>
    <x:row r="16">
      <x:c r="A16" s="2" t="str">
        <x:v>Optics telemetry</x:v>
      </x:c>
      <x:c r="B16" s="11" t="n">
        <x:v>1</x:v>
      </x:c>
      <x:c r="C16" s="11" t="n">
        <x:v>1</x:v>
      </x:c>
      <x:c r="D16" s="11" t="n">
        <x:v>40</x:v>
      </x:c>
      <x:c r="E16" s="11" t="n">
        <x:v>8</x:v>
      </x:c>
      <x:c r="F16" s="2" t="str">
        <x:v>optic ports / device</x:v>
      </x:c>
      <x:c r="G16" s="2" t="str">
        <x:v>Optical transceiver DOM, alarm state, and lane state.</x:v>
      </x:c>
      <x:c r="H16" s="12" t="n">
        <x:f>$B16*IF($C16=1,$A$7,1)*$D16*$E16</x:f>
        <x:v>3200</x:v>
      </x:c>
      <x:c r="I16" s="12" t="n">
        <x:f>H16*(60/$B$4)*60*24*$D$4</x:f>
        <x:v>140256000</x:v>
      </x:c>
      <x:c r="J16" s="12" t="n">
        <x:f>$B16*IF($C16=1,$A$8,1)*$D16*$E16</x:f>
        <x:v>32000</x:v>
      </x:c>
      <x:c r="K16" s="12" t="n">
        <x:f>J16*(60/$B$4)*60*24*$D$4</x:f>
        <x:v>1402560000</x:v>
      </x:c>
      <x:c r="L16" s="12" t="n">
        <x:f>$B16*IF($C16=1,$A$9,1)*$D16*$E16</x:f>
        <x:v>320000</x:v>
      </x:c>
      <x:c r="M16" s="12" t="n">
        <x:f>L16*(60/$B$4)*60*24*$D$4</x:f>
        <x:v>14025600000</x:v>
      </x:c>
    </x:row>
    <x:row r="17">
      <x:c r="A17" s="2" t="str">
        <x:v>Routing, FIB, BGP, ISIS, MPLS, and SR</x:v>
      </x:c>
      <x:c r="B17" s="11" t="n">
        <x:v>1</x:v>
      </x:c>
      <x:c r="C17" s="11" t="n">
        <x:v>1</x:v>
      </x:c>
      <x:c r="D17" s="11" t="n">
        <x:v>60</x:v>
      </x:c>
      <x:c r="E17" s="11" t="n">
        <x:v>6</x:v>
      </x:c>
      <x:c r="F17" s="2" t="str">
        <x:v>neighbors/VRF/protocol combos</x:v>
      </x:c>
      <x:c r="G17" s="2" t="str">
        <x:v>RIB/FIB summaries, BGP/ISIS/MPLS/SR neighbor and policy state.</x:v>
      </x:c>
      <x:c r="H17" s="12" t="n">
        <x:f>$B17*IF($C17=1,$A$7,1)*$D17*$E17</x:f>
        <x:v>3600</x:v>
      </x:c>
      <x:c r="I17" s="12" t="n">
        <x:f>H17*(60/$B$4)*60*24*$D$4</x:f>
        <x:v>157788000</x:v>
      </x:c>
      <x:c r="J17" s="12" t="n">
        <x:f>$B17*IF($C17=1,$A$8,1)*$D17*$E17</x:f>
        <x:v>36000</x:v>
      </x:c>
      <x:c r="K17" s="12" t="n">
        <x:f>J17*(60/$B$4)*60*24*$D$4</x:f>
        <x:v>1577880000</x:v>
      </x:c>
      <x:c r="L17" s="12" t="n">
        <x:f>$B17*IF($C17=1,$A$9,1)*$D17*$E17</x:f>
        <x:v>360000</x:v>
      </x:c>
      <x:c r="M17" s="12" t="n">
        <x:f>L17*(60/$B$4)*60*24*$D$4</x:f>
        <x:v>15778800000</x:v>
      </x:c>
    </x:row>
    <x:row r="18">
      <x:c r="A18" s="2" t="str">
        <x:v>QoS, security policy, and BFD</x:v>
      </x:c>
      <x:c r="B18" s="11" t="n">
        <x:v>1</x:v>
      </x:c>
      <x:c r="C18" s="11" t="n">
        <x:v>1</x:v>
      </x:c>
      <x:c r="D18" s="11" t="n">
        <x:v>40</x:v>
      </x:c>
      <x:c r="E18" s="11" t="n">
        <x:v>5</x:v>
      </x:c>
      <x:c r="F18" s="2" t="str">
        <x:v>policy/session combos</x:v>
      </x:c>
      <x:c r="G18" s="2" t="str">
        <x:v>QoS/PBR policy-map stats, interface QoS, ACL/FlowSpec, and BFD sessions.</x:v>
      </x:c>
      <x:c r="H18" s="12" t="n">
        <x:f>$B18*IF($C18=1,$A$7,1)*$D18*$E18</x:f>
        <x:v>2000</x:v>
      </x:c>
      <x:c r="I18" s="12" t="n">
        <x:f>H18*(60/$B$4)*60*24*$D$4</x:f>
        <x:v>87660000</x:v>
      </x:c>
      <x:c r="J18" s="12" t="n">
        <x:f>$B18*IF($C18=1,$A$8,1)*$D18*$E18</x:f>
        <x:v>20000</x:v>
      </x:c>
      <x:c r="K18" s="12" t="n">
        <x:f>J18*(60/$B$4)*60*24*$D$4</x:f>
        <x:v>876600000</x:v>
      </x:c>
      <x:c r="L18" s="12" t="n">
        <x:f>$B18*IF($C18=1,$A$9,1)*$D18*$E18</x:f>
        <x:v>200000</x:v>
      </x:c>
      <x:c r="M18" s="12" t="n">
        <x:f>L18*(60/$B$4)*60*24*$D$4</x:f>
        <x:v>8766000000</x:v>
      </x:c>
    </x:row>
    <x:row r="19">
      <x:c r="A19" s="2" t="str">
        <x:v>Topology, time sync, ASIC, and telemetry self-health</x:v>
      </x:c>
      <x:c r="B19" s="11" t="n">
        <x:v>1</x:v>
      </x:c>
      <x:c r="C19" s="11" t="n">
        <x:v>1</x:v>
      </x:c>
      <x:c r="D19" s="11" t="n">
        <x:v>24</x:v>
      </x:c>
      <x:c r="E19" s="11" t="n">
        <x:v>4</x:v>
      </x:c>
      <x:c r="F19" s="2" t="str">
        <x:v>component/neighbor combos</x:v>
      </x:c>
      <x:c r="G19" s="2" t="str">
        <x:v>LLDP, NTP/PTP, ASIC resources, and telemetry subscription/destination state.</x:v>
      </x:c>
      <x:c r="H19" s="12" t="n">
        <x:f>$B19*IF($C19=1,$A$7,1)*$D19*$E19</x:f>
        <x:v>960</x:v>
      </x:c>
      <x:c r="I19" s="12" t="n">
        <x:f>H19*(60/$B$4)*60*24*$D$4</x:f>
        <x:v>42076800</x:v>
      </x:c>
      <x:c r="J19" s="12" t="n">
        <x:f>$B19*IF($C19=1,$A$8,1)*$D19*$E19</x:f>
        <x:v>9600</x:v>
      </x:c>
      <x:c r="K19" s="12" t="n">
        <x:f>J19*(60/$B$4)*60*24*$D$4</x:f>
        <x:v>420768000</x:v>
      </x:c>
      <x:c r="L19" s="12" t="n">
        <x:f>$B19*IF($C19=1,$A$9,1)*$D19*$E19</x:f>
        <x:v>96000</x:v>
      </x:c>
      <x:c r="M19" s="12" t="n">
        <x:f>L19*(60/$B$4)*60*24*$D$4</x:f>
        <x:v>4207680000</x:v>
      </x:c>
    </x:row>
    <x:row r="20">
      <x:c r="A20" s="2" t="str">
        <x:v>High-volume route and flow tables</x:v>
      </x:c>
      <x:c r="B20" s="11" t="n">
        <x:v>0</x:v>
      </x:c>
      <x:c r="C20" s="11" t="n">
        <x:v>1</x:v>
      </x:c>
      <x:c r="D20" s="11" t="n">
        <x:v>1000</x:v>
      </x:c>
      <x:c r="E20" s="11" t="n">
        <x:v>2</x:v>
      </x:c>
      <x:c r="F20" s="2" t="str">
        <x:v>route/flow entries</x:v>
      </x:c>
      <x:c r="G20" s="2" t="str">
        <x:v>IPv4 route entries, SRv6 local SID accounting, FlowSpec flows, tunnel heads, and other high-cardinality path groups.</x:v>
      </x:c>
      <x:c r="H20" s="12" t="n">
        <x:f>$B20*IF($C20=1,$A$7,1)*$D20*$E20</x:f>
        <x:v>0</x:v>
      </x:c>
      <x:c r="I20" s="12" t="n">
        <x:f>H20*(60/$B$4)*60*24*$D$4</x:f>
        <x:v>0</x:v>
      </x:c>
      <x:c r="J20" s="12" t="n">
        <x:f>$B20*IF($C20=1,$A$8,1)*$D20*$E20</x:f>
        <x:v>0</x:v>
      </x:c>
      <x:c r="K20" s="12" t="n">
        <x:f>J20*(60/$B$4)*60*24*$D$4</x:f>
        <x:v>0</x:v>
      </x:c>
      <x:c r="L20" s="12" t="n">
        <x:f>$B20*IF($C20=1,$A$9,1)*$D20*$E20</x:f>
        <x:v>0</x:v>
      </x:c>
      <x:c r="M20" s="12" t="n">
        <x:f>L20*(60/$B$4)*60*24*$D$4</x:f>
        <x:v>0</x:v>
      </x:c>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row r="24">
      <x:c r="A24" s="2"/>
      <x:c r="B24" s="2"/>
      <x:c r="C24" s="2"/>
      <x:c r="D24" s="2"/>
      <x:c r="E24" s="2"/>
      <x:c r="F24" s="2"/>
      <x:c r="G24" s="2"/>
      <x:c r="H24" s="2"/>
      <x:c r="I24" s="2"/>
      <x:c r="J24" s="2"/>
      <x:c r="K24" s="2"/>
      <x:c r="L24" s="2"/>
      <x:c r="M24" s="2"/>
    </x:row>
    <x:row r="25">
      <x:c r="A25" s="2"/>
      <x:c r="B25" s="2"/>
      <x:c r="C25" s="2"/>
      <x:c r="D25" s="2"/>
      <x:c r="E25" s="2"/>
      <x:c r="F25" s="2"/>
      <x:c r="G25" s="2"/>
      <x:c r="H25" s="2"/>
      <x:c r="I25" s="2"/>
      <x:c r="J25" s="2"/>
      <x:c r="K25" s="2"/>
      <x:c r="L25" s="2"/>
      <x:c r="M25" s="2"/>
    </x:row>
    <x:row r="26">
      <x:c r="A26" s="2"/>
      <x:c r="B26" s="2"/>
      <x:c r="C26" s="2"/>
      <x:c r="D26" s="2"/>
      <x:c r="E26" s="2"/>
      <x:c r="F26" s="2"/>
      <x:c r="G26" s="2"/>
      <x:c r="H26" s="2"/>
      <x:c r="I26" s="2"/>
      <x:c r="J26" s="2"/>
      <x:c r="K26" s="2"/>
      <x:c r="L26" s="2"/>
      <x:c r="M26" s="2"/>
    </x:row>
    <x:row r="27">
      <x:c r="A27" s="2"/>
      <x:c r="B27" s="2"/>
      <x:c r="C27" s="2"/>
      <x:c r="D27" s="2"/>
      <x:c r="E27" s="2"/>
      <x:c r="F27" s="2"/>
      <x:c r="G27" s="2"/>
      <x:c r="H27" s="2"/>
      <x:c r="I27" s="2"/>
      <x:c r="J27" s="2"/>
      <x:c r="K27" s="2"/>
      <x:c r="L27" s="2"/>
      <x:c r="M27" s="2"/>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row r="81">
      <x:c r="A81" s="2"/>
      <x:c r="B81" s="2"/>
      <x:c r="C81" s="2"/>
      <x:c r="D81" s="2"/>
      <x:c r="E81" s="2"/>
      <x:c r="F81" s="2"/>
      <x:c r="G81" s="2"/>
      <x:c r="H81" s="2"/>
      <x:c r="I81" s="2"/>
      <x:c r="J81" s="2"/>
      <x:c r="K81" s="2"/>
      <x:c r="L81" s="2"/>
      <x:c r="M81" s="2"/>
    </x:row>
    <x:row r="82">
      <x:c r="A82" s="2"/>
      <x:c r="B82" s="2"/>
      <x:c r="C82" s="2"/>
      <x:c r="D82" s="2"/>
      <x:c r="E82" s="2"/>
      <x:c r="F82" s="2"/>
      <x:c r="G82" s="2"/>
      <x:c r="H82" s="2"/>
      <x:c r="I82" s="2"/>
      <x:c r="J82" s="2"/>
      <x:c r="K82" s="2"/>
      <x:c r="L82" s="2"/>
      <x:c r="M82" s="2"/>
    </x:row>
    <x:row r="83">
      <x:c r="A83" s="2"/>
      <x:c r="B83" s="2"/>
      <x:c r="C83" s="2"/>
      <x:c r="D83" s="2"/>
      <x:c r="E83" s="2"/>
      <x:c r="F83" s="2"/>
      <x:c r="G83" s="2"/>
      <x:c r="H83" s="2"/>
      <x:c r="I83" s="2"/>
      <x:c r="J83" s="2"/>
      <x:c r="K83" s="2"/>
      <x:c r="L83" s="2"/>
      <x:c r="M83" s="2"/>
    </x:row>
    <x:row r="84">
      <x:c r="A84" s="2"/>
      <x:c r="B84" s="2"/>
      <x:c r="C84" s="2"/>
      <x:c r="D84" s="2"/>
      <x:c r="E84" s="2"/>
      <x:c r="F84" s="2"/>
      <x:c r="G84" s="2"/>
      <x:c r="H84" s="2"/>
      <x:c r="I84" s="2"/>
      <x:c r="J84" s="2"/>
      <x:c r="K84" s="2"/>
      <x:c r="L84" s="2"/>
      <x:c r="M84" s="2"/>
    </x:row>
    <x:row r="85">
      <x:c r="A85" s="2"/>
      <x:c r="B85" s="2"/>
      <x:c r="C85" s="2"/>
      <x:c r="D85" s="2"/>
      <x:c r="E85" s="2"/>
      <x:c r="F85" s="2"/>
      <x:c r="G85" s="2"/>
      <x:c r="H85" s="2"/>
      <x:c r="I85" s="2"/>
      <x:c r="J85" s="2"/>
      <x:c r="K85" s="2"/>
      <x:c r="L85" s="2"/>
      <x:c r="M85" s="2"/>
    </x:row>
    <x:row r="86">
      <x:c r="A86" s="2"/>
      <x:c r="B86" s="2"/>
      <x:c r="C86" s="2"/>
      <x:c r="D86" s="2"/>
      <x:c r="E86" s="2"/>
      <x:c r="F86" s="2"/>
      <x:c r="G86" s="2"/>
      <x:c r="H86" s="2"/>
      <x:c r="I86" s="2"/>
      <x:c r="J86" s="2"/>
      <x:c r="K86" s="2"/>
      <x:c r="L86" s="2"/>
      <x:c r="M86" s="2"/>
    </x:row>
    <x:row r="87">
      <x:c r="A87" s="2"/>
      <x:c r="B87" s="2"/>
      <x:c r="C87" s="2"/>
      <x:c r="D87" s="2"/>
      <x:c r="E87" s="2"/>
      <x:c r="F87" s="2"/>
      <x:c r="G87" s="2"/>
      <x:c r="H87" s="2"/>
      <x:c r="I87" s="2"/>
      <x:c r="J87" s="2"/>
      <x:c r="K87" s="2"/>
      <x:c r="L87" s="2"/>
      <x:c r="M87" s="2"/>
    </x:row>
    <x:row r="88">
      <x:c r="A88" s="2"/>
      <x:c r="B88" s="2"/>
      <x:c r="C88" s="2"/>
      <x:c r="D88" s="2"/>
      <x:c r="E88" s="2"/>
      <x:c r="F88" s="2"/>
      <x:c r="G88" s="2"/>
      <x:c r="H88" s="2"/>
      <x:c r="I88" s="2"/>
      <x:c r="J88" s="2"/>
      <x:c r="K88" s="2"/>
      <x:c r="L88" s="2"/>
      <x:c r="M88" s="2"/>
    </x:row>
    <x:row r="89">
      <x:c r="A89" s="2"/>
      <x:c r="B89" s="2"/>
      <x:c r="C89" s="2"/>
      <x:c r="D89" s="2"/>
      <x:c r="E89" s="2"/>
      <x:c r="F89" s="2"/>
      <x:c r="G89" s="2"/>
      <x:c r="H89" s="2"/>
      <x:c r="I89" s="2"/>
      <x:c r="J89" s="2"/>
      <x:c r="K89" s="2"/>
      <x:c r="L89" s="2"/>
      <x:c r="M89" s="2"/>
    </x:row>
    <x:row r="90">
      <x:c r="A90" s="2"/>
      <x:c r="B90" s="2"/>
      <x:c r="C90" s="2"/>
      <x:c r="D90" s="2"/>
      <x:c r="E90" s="2"/>
      <x:c r="F90" s="2"/>
      <x:c r="G90" s="2"/>
      <x:c r="H90" s="2"/>
      <x:c r="I90" s="2"/>
      <x:c r="J90" s="2"/>
      <x:c r="K90" s="2"/>
      <x:c r="L90" s="2"/>
      <x:c r="M90" s="2"/>
    </x:row>
    <x:row r="91">
      <x:c r="A91" s="2"/>
      <x:c r="B91" s="2"/>
      <x:c r="C91" s="2"/>
      <x:c r="D91" s="2"/>
      <x:c r="E91" s="2"/>
      <x:c r="F91" s="2"/>
      <x:c r="G91" s="2"/>
      <x:c r="H91" s="2"/>
      <x:c r="I91" s="2"/>
      <x:c r="J91" s="2"/>
      <x:c r="K91" s="2"/>
      <x:c r="L91" s="2"/>
      <x:c r="M91" s="2"/>
    </x:row>
    <x:row r="92">
      <x:c r="A92" s="2"/>
      <x:c r="B92" s="2"/>
      <x:c r="C92" s="2"/>
      <x:c r="D92" s="2"/>
      <x:c r="E92" s="2"/>
      <x:c r="F92" s="2"/>
      <x:c r="G92" s="2"/>
      <x:c r="H92" s="2"/>
      <x:c r="I92" s="2"/>
      <x:c r="J92" s="2"/>
      <x:c r="K92" s="2"/>
      <x:c r="L92" s="2"/>
      <x:c r="M92" s="2"/>
    </x:row>
    <x:row r="93">
      <x:c r="A93" s="2"/>
      <x:c r="B93" s="2"/>
      <x:c r="C93" s="2"/>
      <x:c r="D93" s="2"/>
      <x:c r="E93" s="2"/>
      <x:c r="F93" s="2"/>
      <x:c r="G93" s="2"/>
      <x:c r="H93" s="2"/>
      <x:c r="I93" s="2"/>
      <x:c r="J93" s="2"/>
      <x:c r="K93" s="2"/>
      <x:c r="L93" s="2"/>
      <x:c r="M93" s="2"/>
    </x:row>
    <x:row r="94">
      <x:c r="A94" s="2"/>
      <x:c r="B94" s="2"/>
      <x:c r="C94" s="2"/>
      <x:c r="D94" s="2"/>
      <x:c r="E94" s="2"/>
      <x:c r="F94" s="2"/>
      <x:c r="G94" s="2"/>
      <x:c r="H94" s="2"/>
      <x:c r="I94" s="2"/>
      <x:c r="J94" s="2"/>
      <x:c r="K94" s="2"/>
      <x:c r="L94" s="2"/>
      <x:c r="M94" s="2"/>
    </x:row>
    <x:row r="95">
      <x:c r="A95" s="2"/>
      <x:c r="B95" s="2"/>
      <x:c r="C95" s="2"/>
      <x:c r="D95" s="2"/>
      <x:c r="E95" s="2"/>
      <x:c r="F95" s="2"/>
      <x:c r="G95" s="2"/>
      <x:c r="H95" s="2"/>
      <x:c r="I95" s="2"/>
      <x:c r="J95" s="2"/>
      <x:c r="K95" s="2"/>
      <x:c r="L95" s="2"/>
      <x:c r="M95" s="2"/>
    </x:row>
    <x:row r="96">
      <x:c r="A96" s="2"/>
      <x:c r="B96" s="2"/>
      <x:c r="C96" s="2"/>
      <x:c r="D96" s="2"/>
      <x:c r="E96" s="2"/>
      <x:c r="F96" s="2"/>
      <x:c r="G96" s="2"/>
      <x:c r="H96" s="2"/>
      <x:c r="I96" s="2"/>
      <x:c r="J96" s="2"/>
      <x:c r="K96" s="2"/>
      <x:c r="L96" s="2"/>
      <x:c r="M96" s="2"/>
    </x:row>
    <x:row r="97">
      <x:c r="A97" s="2"/>
      <x:c r="B97" s="2"/>
      <x:c r="C97" s="2"/>
      <x:c r="D97" s="2"/>
      <x:c r="E97" s="2"/>
      <x:c r="F97" s="2"/>
      <x:c r="G97" s="2"/>
      <x:c r="H97" s="2"/>
      <x:c r="I97" s="2"/>
      <x:c r="J97" s="2"/>
      <x:c r="K97" s="2"/>
      <x:c r="L97" s="2"/>
      <x:c r="M97" s="2"/>
    </x:row>
    <x:row r="98">
      <x:c r="A98" s="2"/>
      <x:c r="B98" s="2"/>
      <x:c r="C98" s="2"/>
      <x:c r="D98" s="2"/>
      <x:c r="E98" s="2"/>
      <x:c r="F98" s="2"/>
      <x:c r="G98" s="2"/>
      <x:c r="H98" s="2"/>
      <x:c r="I98" s="2"/>
      <x:c r="J98" s="2"/>
      <x:c r="K98" s="2"/>
      <x:c r="L98" s="2"/>
      <x:c r="M98" s="2"/>
    </x:row>
    <x:row r="99">
      <x:c r="A99" s="2"/>
      <x:c r="B99" s="2"/>
      <x:c r="C99" s="2"/>
      <x:c r="D99" s="2"/>
      <x:c r="E99" s="2"/>
      <x:c r="F99" s="2"/>
      <x:c r="G99" s="2"/>
      <x:c r="H99" s="2"/>
      <x:c r="I99" s="2"/>
      <x:c r="J99" s="2"/>
      <x:c r="K99" s="2"/>
      <x:c r="L99" s="2"/>
      <x:c r="M99" s="2"/>
    </x:row>
    <x:row r="100">
      <x:c r="A100" s="2"/>
      <x:c r="B100" s="2"/>
      <x:c r="C100" s="2"/>
      <x:c r="D100" s="2"/>
      <x:c r="E100" s="2"/>
      <x:c r="F100" s="2"/>
      <x:c r="G100" s="2"/>
      <x:c r="H100" s="2"/>
      <x:c r="I100" s="2"/>
      <x:c r="J100" s="2"/>
      <x:c r="K100" s="2"/>
      <x:c r="L100" s="2"/>
      <x:c r="M100" s="2"/>
    </x:row>
    <x:row r="101">
      <x:c r="A101" s="2"/>
      <x:c r="B101" s="2"/>
      <x:c r="C101" s="2"/>
      <x:c r="D101" s="2"/>
      <x:c r="E101" s="2"/>
      <x:c r="F101" s="2"/>
      <x:c r="G101" s="2"/>
      <x:c r="H101" s="2"/>
      <x:c r="I101" s="2"/>
      <x:c r="J101" s="2"/>
      <x:c r="K101" s="2"/>
      <x:c r="L101" s="2"/>
      <x:c r="M101" s="2"/>
    </x:row>
    <x:row r="102">
      <x:c r="A102" s="2"/>
      <x:c r="B102" s="2"/>
      <x:c r="C102" s="2"/>
      <x:c r="D102" s="2"/>
      <x:c r="E102" s="2"/>
      <x:c r="F102" s="2"/>
      <x:c r="G102" s="2"/>
      <x:c r="H102" s="2"/>
      <x:c r="I102" s="2"/>
      <x:c r="J102" s="2"/>
      <x:c r="K102" s="2"/>
      <x:c r="L102" s="2"/>
      <x:c r="M102" s="2"/>
    </x:row>
    <x:row r="103">
      <x:c r="A103" s="2"/>
      <x:c r="B103" s="2"/>
      <x:c r="C103" s="2"/>
      <x:c r="D103" s="2"/>
      <x:c r="E103" s="2"/>
      <x:c r="F103" s="2"/>
      <x:c r="G103" s="2"/>
      <x:c r="H103" s="2"/>
      <x:c r="I103" s="2"/>
      <x:c r="J103" s="2"/>
      <x:c r="K103" s="2"/>
      <x:c r="L103" s="2"/>
      <x:c r="M103" s="2"/>
    </x:row>
    <x:row r="104">
      <x:c r="A104" s="2"/>
      <x:c r="B104" s="2"/>
      <x:c r="C104" s="2"/>
      <x:c r="D104" s="2"/>
      <x:c r="E104" s="2"/>
      <x:c r="F104" s="2"/>
      <x:c r="G104" s="2"/>
      <x:c r="H104" s="2"/>
      <x:c r="I104" s="2"/>
      <x:c r="J104" s="2"/>
      <x:c r="K104" s="2"/>
      <x:c r="L104" s="2"/>
      <x:c r="M104" s="2"/>
    </x:row>
    <x:row r="105">
      <x:c r="A105" s="2"/>
      <x:c r="B105" s="2"/>
      <x:c r="C105" s="2"/>
      <x:c r="D105" s="2"/>
      <x:c r="E105" s="2"/>
      <x:c r="F105" s="2"/>
      <x:c r="G105" s="2"/>
      <x:c r="H105" s="2"/>
      <x:c r="I105" s="2"/>
      <x:c r="J105" s="2"/>
      <x:c r="K105" s="2"/>
      <x:c r="L105" s="2"/>
      <x:c r="M105" s="2"/>
    </x:row>
    <x:row r="106">
      <x:c r="A106" s="2"/>
      <x:c r="B106" s="2"/>
      <x:c r="C106" s="2"/>
      <x:c r="D106" s="2"/>
      <x:c r="E106" s="2"/>
      <x:c r="F106" s="2"/>
      <x:c r="G106" s="2"/>
      <x:c r="H106" s="2"/>
      <x:c r="I106" s="2"/>
      <x:c r="J106" s="2"/>
      <x:c r="K106" s="2"/>
      <x:c r="L106" s="2"/>
      <x:c r="M106" s="2"/>
    </x:row>
    <x:row r="107">
      <x:c r="A107" s="2"/>
      <x:c r="B107" s="2"/>
      <x:c r="C107" s="2"/>
      <x:c r="D107" s="2"/>
      <x:c r="E107" s="2"/>
      <x:c r="F107" s="2"/>
      <x:c r="G107" s="2"/>
      <x:c r="H107" s="2"/>
      <x:c r="I107" s="2"/>
      <x:c r="J107" s="2"/>
      <x:c r="K107" s="2"/>
      <x:c r="L107" s="2"/>
      <x:c r="M107" s="2"/>
    </x:row>
    <x:row r="108">
      <x:c r="A108" s="2"/>
      <x:c r="B108" s="2"/>
      <x:c r="C108" s="2"/>
      <x:c r="D108" s="2"/>
      <x:c r="E108" s="2"/>
      <x:c r="F108" s="2"/>
      <x:c r="G108" s="2"/>
      <x:c r="H108" s="2"/>
      <x:c r="I108" s="2"/>
      <x:c r="J108" s="2"/>
      <x:c r="K108" s="2"/>
      <x:c r="L108" s="2"/>
      <x:c r="M108" s="2"/>
    </x:row>
    <x:row r="109">
      <x:c r="A109" s="2"/>
      <x:c r="B109" s="2"/>
      <x:c r="C109" s="2"/>
      <x:c r="D109" s="2"/>
      <x:c r="E109" s="2"/>
      <x:c r="F109" s="2"/>
      <x:c r="G109" s="2"/>
      <x:c r="H109" s="2"/>
      <x:c r="I109" s="2"/>
      <x:c r="J109" s="2"/>
      <x:c r="K109" s="2"/>
      <x:c r="L109" s="2"/>
      <x:c r="M109" s="2"/>
    </x:row>
    <x:row r="110">
      <x:c r="A110" s="2"/>
      <x:c r="B110" s="2"/>
      <x:c r="C110" s="2"/>
      <x:c r="D110" s="2"/>
      <x:c r="E110" s="2"/>
      <x:c r="F110" s="2"/>
      <x:c r="G110" s="2"/>
      <x:c r="H110" s="2"/>
      <x:c r="I110" s="2"/>
      <x:c r="J110" s="2"/>
      <x:c r="K110" s="2"/>
      <x:c r="L110" s="2"/>
      <x:c r="M110" s="2"/>
    </x:row>
    <x:row r="111">
      <x:c r="A111" s="2"/>
      <x:c r="B111" s="2"/>
      <x:c r="C111" s="2"/>
      <x:c r="D111" s="2"/>
      <x:c r="E111" s="2"/>
      <x:c r="F111" s="2"/>
      <x:c r="G111" s="2"/>
      <x:c r="H111" s="2"/>
      <x:c r="I111" s="2"/>
      <x:c r="J111" s="2"/>
      <x:c r="K111" s="2"/>
      <x:c r="L111" s="2"/>
      <x:c r="M111" s="2"/>
    </x:row>
    <x:row r="112">
      <x:c r="A112" s="2"/>
      <x:c r="B112" s="2"/>
      <x:c r="C112" s="2"/>
      <x:c r="D112" s="2"/>
      <x:c r="E112" s="2"/>
      <x:c r="F112" s="2"/>
      <x:c r="G112" s="2"/>
      <x:c r="H112" s="2"/>
      <x:c r="I112" s="2"/>
      <x:c r="J112" s="2"/>
      <x:c r="K112" s="2"/>
      <x:c r="L112" s="2"/>
      <x:c r="M112" s="2"/>
    </x:row>
    <x:row r="113">
      <x:c r="A113" s="2"/>
      <x:c r="B113" s="2"/>
      <x:c r="C113" s="2"/>
      <x:c r="D113" s="2"/>
      <x:c r="E113" s="2"/>
      <x:c r="F113" s="2"/>
      <x:c r="G113" s="2"/>
      <x:c r="H113" s="2"/>
      <x:c r="I113" s="2"/>
      <x:c r="J113" s="2"/>
      <x:c r="K113" s="2"/>
      <x:c r="L113" s="2"/>
      <x:c r="M113" s="2"/>
    </x:row>
    <x:row r="114">
      <x:c r="A114" s="2"/>
      <x:c r="B114" s="2"/>
      <x:c r="C114" s="2"/>
      <x:c r="D114" s="2"/>
      <x:c r="E114" s="2"/>
      <x:c r="F114" s="2"/>
      <x:c r="G114" s="2"/>
      <x:c r="H114" s="2"/>
      <x:c r="I114" s="2"/>
      <x:c r="J114" s="2"/>
      <x:c r="K114" s="2"/>
      <x:c r="L114" s="2"/>
      <x:c r="M114" s="2"/>
    </x:row>
    <x:row r="115">
      <x:c r="A115" s="2"/>
      <x:c r="B115" s="2"/>
      <x:c r="C115" s="2"/>
      <x:c r="D115" s="2"/>
      <x:c r="E115" s="2"/>
      <x:c r="F115" s="2"/>
      <x:c r="G115" s="2"/>
      <x:c r="H115" s="2"/>
      <x:c r="I115" s="2"/>
      <x:c r="J115" s="2"/>
      <x:c r="K115" s="2"/>
      <x:c r="L115" s="2"/>
      <x:c r="M115" s="2"/>
    </x:row>
    <x:row r="116">
      <x:c r="A116" s="2"/>
      <x:c r="B116" s="2"/>
      <x:c r="C116" s="2"/>
      <x:c r="D116" s="2"/>
      <x:c r="E116" s="2"/>
      <x:c r="F116" s="2"/>
      <x:c r="G116" s="2"/>
      <x:c r="H116" s="2"/>
      <x:c r="I116" s="2"/>
      <x:c r="J116" s="2"/>
      <x:c r="K116" s="2"/>
      <x:c r="L116" s="2"/>
      <x:c r="M116" s="2"/>
    </x:row>
    <x:row r="117">
      <x:c r="A117" s="2"/>
      <x:c r="B117" s="2"/>
      <x:c r="C117" s="2"/>
      <x:c r="D117" s="2"/>
      <x:c r="E117" s="2"/>
      <x:c r="F117" s="2"/>
      <x:c r="G117" s="2"/>
      <x:c r="H117" s="2"/>
      <x:c r="I117" s="2"/>
      <x:c r="J117" s="2"/>
      <x:c r="K117" s="2"/>
      <x:c r="L117" s="2"/>
      <x:c r="M117" s="2"/>
    </x:row>
    <x:row r="118">
      <x:c r="A118" s="2"/>
      <x:c r="B118" s="2"/>
      <x:c r="C118" s="2"/>
      <x:c r="D118" s="2"/>
      <x:c r="E118" s="2"/>
      <x:c r="F118" s="2"/>
      <x:c r="G118" s="2"/>
      <x:c r="H118" s="2"/>
      <x:c r="I118" s="2"/>
      <x:c r="J118" s="2"/>
      <x:c r="K118" s="2"/>
      <x:c r="L118" s="2"/>
      <x:c r="M118" s="2"/>
    </x:row>
    <x:row r="119">
      <x:c r="A119" s="2"/>
      <x:c r="B119" s="2"/>
      <x:c r="C119" s="2"/>
      <x:c r="D119" s="2"/>
      <x:c r="E119" s="2"/>
      <x:c r="F119" s="2"/>
      <x:c r="G119" s="2"/>
      <x:c r="H119" s="2"/>
      <x:c r="I119" s="2"/>
      <x:c r="J119" s="2"/>
      <x:c r="K119" s="2"/>
      <x:c r="L119" s="2"/>
      <x:c r="M119" s="2"/>
    </x:row>
    <x:row r="120">
      <x:c r="A120" s="2"/>
      <x:c r="B120" s="2"/>
      <x:c r="C120" s="2"/>
      <x:c r="D120" s="2"/>
      <x:c r="E120" s="2"/>
      <x:c r="F120" s="2"/>
      <x:c r="G120" s="2"/>
      <x:c r="H120" s="2"/>
      <x:c r="I120" s="2"/>
      <x:c r="J120" s="2"/>
      <x:c r="K120" s="2"/>
      <x:c r="L120" s="2"/>
      <x:c r="M120" s="2"/>
    </x:row>
    <x:row r="121">
      <x:c r="A121" s="2"/>
      <x:c r="B121" s="2"/>
      <x:c r="C121" s="2"/>
      <x:c r="D121" s="2"/>
      <x:c r="E121" s="2"/>
      <x:c r="F121" s="2"/>
      <x:c r="G121" s="2"/>
      <x:c r="H121" s="2"/>
      <x:c r="I121" s="2"/>
      <x:c r="J121" s="2"/>
      <x:c r="K121" s="2"/>
      <x:c r="L121" s="2"/>
      <x:c r="M121" s="2"/>
    </x:row>
    <x:row r="122">
      <x:c r="A122" s="2"/>
      <x:c r="B122" s="2"/>
      <x:c r="C122" s="2"/>
      <x:c r="D122" s="2"/>
      <x:c r="E122" s="2"/>
      <x:c r="F122" s="2"/>
      <x:c r="G122" s="2"/>
      <x:c r="H122" s="2"/>
      <x:c r="I122" s="2"/>
      <x:c r="J122" s="2"/>
      <x:c r="K122" s="2"/>
      <x:c r="L122" s="2"/>
      <x:c r="M122" s="2"/>
    </x:row>
    <x:row r="123">
      <x:c r="A123" s="2"/>
      <x:c r="B123" s="2"/>
      <x:c r="C123" s="2"/>
      <x:c r="D123" s="2"/>
      <x:c r="E123" s="2"/>
      <x:c r="F123" s="2"/>
      <x:c r="G123" s="2"/>
      <x:c r="H123" s="2"/>
      <x:c r="I123" s="2"/>
      <x:c r="J123" s="2"/>
      <x:c r="K123" s="2"/>
      <x:c r="L123" s="2"/>
      <x:c r="M123" s="2"/>
    </x:row>
    <x:row r="124">
      <x:c r="A124" s="2"/>
      <x:c r="B124" s="2"/>
      <x:c r="C124" s="2"/>
      <x:c r="D124" s="2"/>
      <x:c r="E124" s="2"/>
      <x:c r="F124" s="2"/>
      <x:c r="G124" s="2"/>
      <x:c r="H124" s="2"/>
      <x:c r="I124" s="2"/>
      <x:c r="J124" s="2"/>
      <x:c r="K124" s="2"/>
      <x:c r="L124" s="2"/>
      <x:c r="M124" s="2"/>
    </x:row>
    <x:row r="125">
      <x:c r="A125" s="2"/>
      <x:c r="B125" s="2"/>
      <x:c r="C125" s="2"/>
      <x:c r="D125" s="2"/>
      <x:c r="E125" s="2"/>
      <x:c r="F125" s="2"/>
      <x:c r="G125" s="2"/>
      <x:c r="H125" s="2"/>
      <x:c r="I125" s="2"/>
      <x:c r="J125" s="2"/>
      <x:c r="K125" s="2"/>
      <x:c r="L125" s="2"/>
      <x:c r="M125" s="2"/>
    </x:row>
    <x:row r="126">
      <x:c r="A126" s="2"/>
      <x:c r="B126" s="2"/>
      <x:c r="C126" s="2"/>
      <x:c r="D126" s="2"/>
      <x:c r="E126" s="2"/>
      <x:c r="F126" s="2"/>
      <x:c r="G126" s="2"/>
      <x:c r="H126" s="2"/>
      <x:c r="I126" s="2"/>
      <x:c r="J126" s="2"/>
      <x:c r="K126" s="2"/>
      <x:c r="L126" s="2"/>
      <x:c r="M126" s="2"/>
    </x:row>
    <x:row r="127">
      <x:c r="A127" s="2"/>
      <x:c r="B127" s="2"/>
      <x:c r="C127" s="2"/>
      <x:c r="D127" s="2"/>
      <x:c r="E127" s="2"/>
      <x:c r="F127" s="2"/>
      <x:c r="G127" s="2"/>
      <x:c r="H127" s="2"/>
      <x:c r="I127" s="2"/>
      <x:c r="J127" s="2"/>
      <x:c r="K127" s="2"/>
      <x:c r="L127" s="2"/>
      <x:c r="M127" s="2"/>
    </x:row>
    <x:row r="128">
      <x:c r="A128" s="2"/>
      <x:c r="B128" s="2"/>
      <x:c r="C128" s="2"/>
      <x:c r="D128" s="2"/>
      <x:c r="E128" s="2"/>
      <x:c r="F128" s="2"/>
      <x:c r="G128" s="2"/>
      <x:c r="H128" s="2"/>
      <x:c r="I128" s="2"/>
      <x:c r="J128" s="2"/>
      <x:c r="K128" s="2"/>
      <x:c r="L128" s="2"/>
      <x:c r="M128" s="2"/>
    </x:row>
    <x:row r="129">
      <x:c r="A129" s="2"/>
      <x:c r="B129" s="2"/>
      <x:c r="C129" s="2"/>
      <x:c r="D129" s="2"/>
      <x:c r="E129" s="2"/>
      <x:c r="F129" s="2"/>
      <x:c r="G129" s="2"/>
      <x:c r="H129" s="2"/>
      <x:c r="I129" s="2"/>
      <x:c r="J129" s="2"/>
      <x:c r="K129" s="2"/>
      <x:c r="L129" s="2"/>
      <x:c r="M129" s="2"/>
    </x:row>
    <x:row r="130">
      <x:c r="A130" s="2"/>
      <x:c r="B130" s="2"/>
      <x:c r="C130" s="2"/>
      <x:c r="D130" s="2"/>
      <x:c r="E130" s="2"/>
      <x:c r="F130" s="2"/>
      <x:c r="G130" s="2"/>
      <x:c r="H130" s="2"/>
      <x:c r="I130" s="2"/>
      <x:c r="J130" s="2"/>
      <x:c r="K130" s="2"/>
      <x:c r="L130" s="2"/>
      <x:c r="M130" s="2"/>
    </x:row>
    <x:row r="131">
      <x:c r="A131" s="2"/>
      <x:c r="B131" s="2"/>
      <x:c r="C131" s="2"/>
      <x:c r="D131" s="2"/>
      <x:c r="E131" s="2"/>
      <x:c r="F131" s="2"/>
      <x:c r="G131" s="2"/>
      <x:c r="H131" s="2"/>
      <x:c r="I131" s="2"/>
      <x:c r="J131" s="2"/>
      <x:c r="K131" s="2"/>
      <x:c r="L131" s="2"/>
      <x:c r="M131" s="2"/>
    </x:row>
    <x:row r="132">
      <x:c r="A132" s="2"/>
      <x:c r="B132" s="2"/>
      <x:c r="C132" s="2"/>
      <x:c r="D132" s="2"/>
      <x:c r="E132" s="2"/>
      <x:c r="F132" s="2"/>
      <x:c r="G132" s="2"/>
      <x:c r="H132" s="2"/>
      <x:c r="I132" s="2"/>
      <x:c r="J132" s="2"/>
      <x:c r="K132" s="2"/>
      <x:c r="L132" s="2"/>
      <x:c r="M132" s="2"/>
    </x:row>
    <x:row r="133">
      <x:c r="A133" s="2"/>
      <x:c r="B133" s="2"/>
      <x:c r="C133" s="2"/>
      <x:c r="D133" s="2"/>
      <x:c r="E133" s="2"/>
      <x:c r="F133" s="2"/>
      <x:c r="G133" s="2"/>
      <x:c r="H133" s="2"/>
      <x:c r="I133" s="2"/>
      <x:c r="J133" s="2"/>
      <x:c r="K133" s="2"/>
      <x:c r="L133" s="2"/>
      <x:c r="M133" s="2"/>
    </x:row>
    <x:row r="134">
      <x:c r="A134" s="2"/>
      <x:c r="B134" s="2"/>
      <x:c r="C134" s="2"/>
      <x:c r="D134" s="2"/>
      <x:c r="E134" s="2"/>
      <x:c r="F134" s="2"/>
      <x:c r="G134" s="2"/>
      <x:c r="H134" s="2"/>
      <x:c r="I134" s="2"/>
      <x:c r="J134" s="2"/>
      <x:c r="K134" s="2"/>
      <x:c r="L134" s="2"/>
      <x:c r="M134" s="2"/>
    </x:row>
    <x:row r="135">
      <x:c r="A135" s="2"/>
      <x:c r="B135" s="2"/>
      <x:c r="C135" s="2"/>
      <x:c r="D135" s="2"/>
      <x:c r="E135" s="2"/>
      <x:c r="F135" s="2"/>
      <x:c r="G135" s="2"/>
      <x:c r="H135" s="2"/>
      <x:c r="I135" s="2"/>
      <x:c r="J135" s="2"/>
      <x:c r="K135" s="2"/>
      <x:c r="L135" s="2"/>
      <x:c r="M135" s="2"/>
    </x:row>
    <x:row r="136">
      <x:c r="A136" s="2"/>
      <x:c r="B136" s="2"/>
      <x:c r="C136" s="2"/>
      <x:c r="D136" s="2"/>
      <x:c r="E136" s="2"/>
      <x:c r="F136" s="2"/>
      <x:c r="G136" s="2"/>
      <x:c r="H136" s="2"/>
      <x:c r="I136" s="2"/>
      <x:c r="J136" s="2"/>
      <x:c r="K136" s="2"/>
      <x:c r="L136" s="2"/>
      <x:c r="M136" s="2"/>
    </x:row>
    <x:row r="137">
      <x:c r="A137" s="2"/>
      <x:c r="B137" s="2"/>
      <x:c r="C137" s="2"/>
      <x:c r="D137" s="2"/>
      <x:c r="E137" s="2"/>
      <x:c r="F137" s="2"/>
      <x:c r="G137" s="2"/>
      <x:c r="H137" s="2"/>
      <x:c r="I137" s="2"/>
      <x:c r="J137" s="2"/>
      <x:c r="K137" s="2"/>
      <x:c r="L137" s="2"/>
      <x:c r="M137" s="2"/>
    </x:row>
    <x:row r="138">
      <x:c r="A138" s="2"/>
      <x:c r="B138" s="2"/>
      <x:c r="C138" s="2"/>
      <x:c r="D138" s="2"/>
      <x:c r="E138" s="2"/>
      <x:c r="F138" s="2"/>
      <x:c r="G138" s="2"/>
      <x:c r="H138" s="2"/>
      <x:c r="I138" s="2"/>
      <x:c r="J138" s="2"/>
      <x:c r="K138" s="2"/>
      <x:c r="L138" s="2"/>
      <x:c r="M138" s="2"/>
    </x:row>
    <x:row r="139">
      <x:c r="A139" s="2"/>
      <x:c r="B139" s="2"/>
      <x:c r="C139" s="2"/>
      <x:c r="D139" s="2"/>
      <x:c r="E139" s="2"/>
      <x:c r="F139" s="2"/>
      <x:c r="G139" s="2"/>
      <x:c r="H139" s="2"/>
      <x:c r="I139" s="2"/>
      <x:c r="J139" s="2"/>
      <x:c r="K139" s="2"/>
      <x:c r="L139" s="2"/>
      <x:c r="M139" s="2"/>
    </x:row>
    <x:row r="140">
      <x:c r="A140" s="2"/>
      <x:c r="B140" s="2"/>
      <x:c r="C140" s="2"/>
      <x:c r="D140" s="2"/>
      <x:c r="E140" s="2"/>
      <x:c r="F140" s="2"/>
      <x:c r="G140" s="2"/>
      <x:c r="H140" s="2"/>
      <x:c r="I140" s="2"/>
      <x:c r="J140" s="2"/>
      <x:c r="K140" s="2"/>
      <x:c r="L140" s="2"/>
      <x:c r="M140" s="2"/>
    </x:row>
    <x:row r="141">
      <x:c r="A141" s="2"/>
      <x:c r="B141" s="2"/>
      <x:c r="C141" s="2"/>
      <x:c r="D141" s="2"/>
      <x:c r="E141" s="2"/>
      <x:c r="F141" s="2"/>
      <x:c r="G141" s="2"/>
      <x:c r="H141" s="2"/>
      <x:c r="I141" s="2"/>
      <x:c r="J141" s="2"/>
      <x:c r="K141" s="2"/>
      <x:c r="L141" s="2"/>
      <x:c r="M141" s="2"/>
    </x:row>
    <x:row r="142">
      <x:c r="A142" s="2"/>
      <x:c r="B142" s="2"/>
      <x:c r="C142" s="2"/>
      <x:c r="D142" s="2"/>
      <x:c r="E142" s="2"/>
      <x:c r="F142" s="2"/>
      <x:c r="G142" s="2"/>
      <x:c r="H142" s="2"/>
      <x:c r="I142" s="2"/>
      <x:c r="J142" s="2"/>
      <x:c r="K142" s="2"/>
      <x:c r="L142" s="2"/>
      <x:c r="M142" s="2"/>
    </x:row>
    <x:row r="143">
      <x:c r="A143" s="2"/>
      <x:c r="B143" s="2"/>
      <x:c r="C143" s="2"/>
      <x:c r="D143" s="2"/>
      <x:c r="E143" s="2"/>
      <x:c r="F143" s="2"/>
      <x:c r="G143" s="2"/>
      <x:c r="H143" s="2"/>
      <x:c r="I143" s="2"/>
      <x:c r="J143" s="2"/>
      <x:c r="K143" s="2"/>
      <x:c r="L143" s="2"/>
      <x:c r="M143" s="2"/>
    </x:row>
    <x:row r="144">
      <x:c r="A144" s="2"/>
      <x:c r="B144" s="2"/>
      <x:c r="C144" s="2"/>
      <x:c r="D144" s="2"/>
      <x:c r="E144" s="2"/>
      <x:c r="F144" s="2"/>
      <x:c r="G144" s="2"/>
      <x:c r="H144" s="2"/>
      <x:c r="I144" s="2"/>
      <x:c r="J144" s="2"/>
      <x:c r="K144" s="2"/>
      <x:c r="L144" s="2"/>
      <x:c r="M144" s="2"/>
    </x:row>
    <x:row r="145">
      <x:c r="A145" s="2"/>
      <x:c r="B145" s="2"/>
      <x:c r="C145" s="2"/>
      <x:c r="D145" s="2"/>
      <x:c r="E145" s="2"/>
      <x:c r="F145" s="2"/>
      <x:c r="G145" s="2"/>
      <x:c r="H145" s="2"/>
      <x:c r="I145" s="2"/>
      <x:c r="J145" s="2"/>
      <x:c r="K145" s="2"/>
      <x:c r="L145" s="2"/>
      <x:c r="M145" s="2"/>
    </x:row>
    <x:row r="146">
      <x:c r="A146" s="2"/>
      <x:c r="B146" s="2"/>
      <x:c r="C146" s="2"/>
      <x:c r="D146" s="2"/>
      <x:c r="E146" s="2"/>
      <x:c r="F146" s="2"/>
      <x:c r="G146" s="2"/>
      <x:c r="H146" s="2"/>
      <x:c r="I146" s="2"/>
      <x:c r="J146" s="2"/>
      <x:c r="K146" s="2"/>
      <x:c r="L146" s="2"/>
      <x:c r="M146" s="2"/>
    </x:row>
    <x:row r="147">
      <x:c r="A147" s="2"/>
      <x:c r="B147" s="2"/>
      <x:c r="C147" s="2"/>
      <x:c r="D147" s="2"/>
      <x:c r="E147" s="2"/>
      <x:c r="F147" s="2"/>
      <x:c r="G147" s="2"/>
      <x:c r="H147" s="2"/>
      <x:c r="I147" s="2"/>
      <x:c r="J147" s="2"/>
      <x:c r="K147" s="2"/>
      <x:c r="L147" s="2"/>
      <x:c r="M147" s="2"/>
    </x:row>
    <x:row r="148">
      <x:c r="A148" s="2"/>
      <x:c r="B148" s="2"/>
      <x:c r="C148" s="2"/>
      <x:c r="D148" s="2"/>
      <x:c r="E148" s="2"/>
      <x:c r="F148" s="2"/>
      <x:c r="G148" s="2"/>
      <x:c r="H148" s="2"/>
      <x:c r="I148" s="2"/>
      <x:c r="J148" s="2"/>
      <x:c r="K148" s="2"/>
      <x:c r="L148" s="2"/>
      <x:c r="M148" s="2"/>
    </x:row>
    <x:row r="149">
      <x:c r="A149" s="2"/>
      <x:c r="B149" s="2"/>
      <x:c r="C149" s="2"/>
      <x:c r="D149" s="2"/>
      <x:c r="E149" s="2"/>
      <x:c r="F149" s="2"/>
      <x:c r="G149" s="2"/>
      <x:c r="H149" s="2"/>
      <x:c r="I149" s="2"/>
      <x:c r="J149" s="2"/>
      <x:c r="K149" s="2"/>
      <x:c r="L149" s="2"/>
      <x:c r="M149" s="2"/>
    </x:row>
    <x:row r="150">
      <x:c r="A150" s="2"/>
      <x:c r="B150" s="2"/>
      <x:c r="C150" s="2"/>
      <x:c r="D150" s="2"/>
      <x:c r="E150" s="2"/>
      <x:c r="F150" s="2"/>
      <x:c r="G150" s="2"/>
      <x:c r="H150" s="2"/>
      <x:c r="I150" s="2"/>
      <x:c r="J150" s="2"/>
      <x:c r="K150" s="2"/>
      <x:c r="L150" s="2"/>
      <x:c r="M150" s="2"/>
    </x:row>
    <x:row r="151">
      <x:c r="A151" s="2"/>
      <x:c r="B151" s="2"/>
      <x:c r="C151" s="2"/>
      <x:c r="D151" s="2"/>
      <x:c r="E151" s="2"/>
      <x:c r="F151" s="2"/>
      <x:c r="G151" s="2"/>
      <x:c r="H151" s="2"/>
      <x:c r="I151" s="2"/>
      <x:c r="J151" s="2"/>
      <x:c r="K151" s="2"/>
      <x:c r="L151" s="2"/>
      <x:c r="M151" s="2"/>
    </x:row>
    <x:row r="152">
      <x:c r="A152" s="2"/>
      <x:c r="B152" s="2"/>
      <x:c r="C152" s="2"/>
      <x:c r="D152" s="2"/>
      <x:c r="E152" s="2"/>
      <x:c r="F152" s="2"/>
      <x:c r="G152" s="2"/>
      <x:c r="H152" s="2"/>
      <x:c r="I152" s="2"/>
      <x:c r="J152" s="2"/>
      <x:c r="K152" s="2"/>
      <x:c r="L152" s="2"/>
      <x:c r="M152" s="2"/>
    </x:row>
    <x:row r="153">
      <x:c r="A153" s="2"/>
      <x:c r="B153" s="2"/>
      <x:c r="C153" s="2"/>
      <x:c r="D153" s="2"/>
      <x:c r="E153" s="2"/>
      <x:c r="F153" s="2"/>
      <x:c r="G153" s="2"/>
      <x:c r="H153" s="2"/>
      <x:c r="I153" s="2"/>
      <x:c r="J153" s="2"/>
      <x:c r="K153" s="2"/>
      <x:c r="L153" s="2"/>
      <x:c r="M153" s="2"/>
    </x:row>
    <x:row r="154">
      <x:c r="A154" s="2"/>
      <x:c r="B154" s="2"/>
      <x:c r="C154" s="2"/>
      <x:c r="D154" s="2"/>
      <x:c r="E154" s="2"/>
      <x:c r="F154" s="2"/>
      <x:c r="G154" s="2"/>
      <x:c r="H154" s="2"/>
      <x:c r="I154" s="2"/>
      <x:c r="J154" s="2"/>
      <x:c r="K154" s="2"/>
      <x:c r="L154" s="2"/>
      <x:c r="M154" s="2"/>
    </x:row>
    <x:row r="155">
      <x:c r="A155" s="2"/>
      <x:c r="B155" s="2"/>
      <x:c r="C155" s="2"/>
      <x:c r="D155" s="2"/>
      <x:c r="E155" s="2"/>
      <x:c r="F155" s="2"/>
      <x:c r="G155" s="2"/>
      <x:c r="H155" s="2"/>
      <x:c r="I155" s="2"/>
      <x:c r="J155" s="2"/>
      <x:c r="K155" s="2"/>
      <x:c r="L155" s="2"/>
      <x:c r="M155" s="2"/>
    </x:row>
    <x:row r="156">
      <x:c r="A156" s="2"/>
      <x:c r="B156" s="2"/>
      <x:c r="C156" s="2"/>
      <x:c r="D156" s="2"/>
      <x:c r="E156" s="2"/>
      <x:c r="F156" s="2"/>
      <x:c r="G156" s="2"/>
      <x:c r="H156" s="2"/>
      <x:c r="I156" s="2"/>
      <x:c r="J156" s="2"/>
      <x:c r="K156" s="2"/>
      <x:c r="L156" s="2"/>
      <x:c r="M156" s="2"/>
    </x:row>
    <x:row r="157">
      <x:c r="A157" s="2"/>
      <x:c r="B157" s="2"/>
      <x:c r="C157" s="2"/>
      <x:c r="D157" s="2"/>
      <x:c r="E157" s="2"/>
      <x:c r="F157" s="2"/>
      <x:c r="G157" s="2"/>
      <x:c r="H157" s="2"/>
      <x:c r="I157" s="2"/>
      <x:c r="J157" s="2"/>
      <x:c r="K157" s="2"/>
      <x:c r="L157" s="2"/>
      <x:c r="M157" s="2"/>
    </x:row>
    <x:row r="158">
      <x:c r="A158" s="2"/>
      <x:c r="B158" s="2"/>
      <x:c r="C158" s="2"/>
      <x:c r="D158" s="2"/>
      <x:c r="E158" s="2"/>
      <x:c r="F158" s="2"/>
      <x:c r="G158" s="2"/>
      <x:c r="H158" s="2"/>
      <x:c r="I158" s="2"/>
      <x:c r="J158" s="2"/>
      <x:c r="K158" s="2"/>
      <x:c r="L158" s="2"/>
      <x:c r="M158" s="2"/>
    </x:row>
    <x:row r="159">
      <x:c r="A159" s="2"/>
      <x:c r="B159" s="2"/>
      <x:c r="C159" s="2"/>
      <x:c r="D159" s="2"/>
      <x:c r="E159" s="2"/>
      <x:c r="F159" s="2"/>
      <x:c r="G159" s="2"/>
      <x:c r="H159" s="2"/>
      <x:c r="I159" s="2"/>
      <x:c r="J159" s="2"/>
      <x:c r="K159" s="2"/>
      <x:c r="L159" s="2"/>
      <x:c r="M159" s="2"/>
    </x:row>
    <x:row r="160">
      <x:c r="A160" s="2"/>
      <x:c r="B160" s="2"/>
      <x:c r="C160" s="2"/>
      <x:c r="D160" s="2"/>
      <x:c r="E160" s="2"/>
      <x:c r="F160" s="2"/>
      <x:c r="G160" s="2"/>
      <x:c r="H160" s="2"/>
      <x:c r="I160" s="2"/>
      <x:c r="J160" s="2"/>
      <x:c r="K160" s="2"/>
      <x:c r="L160" s="2"/>
      <x:c r="M160" s="2"/>
    </x:row>
    <x:row r="161">
      <x:c r="A161" s="2"/>
      <x:c r="B161" s="2"/>
      <x:c r="C161" s="2"/>
      <x:c r="D161" s="2"/>
      <x:c r="E161" s="2"/>
      <x:c r="F161" s="2"/>
      <x:c r="G161" s="2"/>
      <x:c r="H161" s="2"/>
      <x:c r="I161" s="2"/>
      <x:c r="J161" s="2"/>
      <x:c r="K161" s="2"/>
      <x:c r="L161" s="2"/>
      <x:c r="M161" s="2"/>
    </x:row>
    <x:row r="162">
      <x:c r="A162" s="2"/>
      <x:c r="B162" s="2"/>
      <x:c r="C162" s="2"/>
      <x:c r="D162" s="2"/>
      <x:c r="E162" s="2"/>
      <x:c r="F162" s="2"/>
      <x:c r="G162" s="2"/>
      <x:c r="H162" s="2"/>
      <x:c r="I162" s="2"/>
      <x:c r="J162" s="2"/>
      <x:c r="K162" s="2"/>
      <x:c r="L162" s="2"/>
      <x:c r="M162" s="2"/>
    </x:row>
    <x:row r="163">
      <x:c r="A163" s="2"/>
      <x:c r="B163" s="2"/>
      <x:c r="C163" s="2"/>
      <x:c r="D163" s="2"/>
      <x:c r="E163" s="2"/>
      <x:c r="F163" s="2"/>
      <x:c r="G163" s="2"/>
      <x:c r="H163" s="2"/>
      <x:c r="I163" s="2"/>
      <x:c r="J163" s="2"/>
      <x:c r="K163" s="2"/>
      <x:c r="L163" s="2"/>
      <x:c r="M163" s="2"/>
    </x:row>
    <x:row r="164">
      <x:c r="A164" s="2"/>
      <x:c r="B164" s="2"/>
      <x:c r="C164" s="2"/>
      <x:c r="D164" s="2"/>
      <x:c r="E164" s="2"/>
      <x:c r="F164" s="2"/>
      <x:c r="G164" s="2"/>
      <x:c r="H164" s="2"/>
      <x:c r="I164" s="2"/>
      <x:c r="J164" s="2"/>
      <x:c r="K164" s="2"/>
      <x:c r="L164" s="2"/>
      <x:c r="M164" s="2"/>
    </x:row>
    <x:row r="165">
      <x:c r="A165" s="2"/>
      <x:c r="B165" s="2"/>
      <x:c r="C165" s="2"/>
      <x:c r="D165" s="2"/>
      <x:c r="E165" s="2"/>
      <x:c r="F165" s="2"/>
      <x:c r="G165" s="2"/>
      <x:c r="H165" s="2"/>
      <x:c r="I165" s="2"/>
      <x:c r="J165" s="2"/>
      <x:c r="K165" s="2"/>
      <x:c r="L165" s="2"/>
      <x:c r="M165" s="2"/>
    </x:row>
    <x:row r="166">
      <x:c r="A166" s="2"/>
      <x:c r="B166" s="2"/>
      <x:c r="C166" s="2"/>
      <x:c r="D166" s="2"/>
      <x:c r="E166" s="2"/>
      <x:c r="F166" s="2"/>
      <x:c r="G166" s="2"/>
      <x:c r="H166" s="2"/>
      <x:c r="I166" s="2"/>
      <x:c r="J166" s="2"/>
      <x:c r="K166" s="2"/>
      <x:c r="L166" s="2"/>
      <x:c r="M166" s="2"/>
    </x:row>
    <x:row r="167">
      <x:c r="A167" s="2"/>
      <x:c r="B167" s="2"/>
      <x:c r="C167" s="2"/>
      <x:c r="D167" s="2"/>
      <x:c r="E167" s="2"/>
      <x:c r="F167" s="2"/>
      <x:c r="G167" s="2"/>
      <x:c r="H167" s="2"/>
      <x:c r="I167" s="2"/>
      <x:c r="J167" s="2"/>
      <x:c r="K167" s="2"/>
      <x:c r="L167" s="2"/>
      <x:c r="M167" s="2"/>
    </x:row>
    <x:row r="168">
      <x:c r="A168" s="2"/>
      <x:c r="B168" s="2"/>
      <x:c r="C168" s="2"/>
      <x:c r="D168" s="2"/>
      <x:c r="E168" s="2"/>
      <x:c r="F168" s="2"/>
      <x:c r="G168" s="2"/>
      <x:c r="H168" s="2"/>
      <x:c r="I168" s="2"/>
      <x:c r="J168" s="2"/>
      <x:c r="K168" s="2"/>
      <x:c r="L168" s="2"/>
      <x:c r="M168" s="2"/>
    </x:row>
    <x:row r="169">
      <x:c r="A169" s="2"/>
      <x:c r="B169" s="2"/>
      <x:c r="C169" s="2"/>
      <x:c r="D169" s="2"/>
      <x:c r="E169" s="2"/>
      <x:c r="F169" s="2"/>
      <x:c r="G169" s="2"/>
      <x:c r="H169" s="2"/>
      <x:c r="I169" s="2"/>
      <x:c r="J169" s="2"/>
      <x:c r="K169" s="2"/>
      <x:c r="L169" s="2"/>
      <x:c r="M169" s="2"/>
    </x:row>
    <x:row r="170">
      <x:c r="A170" s="2"/>
      <x:c r="B170" s="2"/>
      <x:c r="C170" s="2"/>
      <x:c r="D170" s="2"/>
      <x:c r="E170" s="2"/>
      <x:c r="F170" s="2"/>
      <x:c r="G170" s="2"/>
      <x:c r="H170" s="2"/>
      <x:c r="I170" s="2"/>
      <x:c r="J170" s="2"/>
      <x:c r="K170" s="2"/>
      <x:c r="L170" s="2"/>
      <x:c r="M170" s="2"/>
    </x:row>
    <x:row r="171">
      <x:c r="A171" s="2"/>
      <x:c r="B171" s="2"/>
      <x:c r="C171" s="2"/>
      <x:c r="D171" s="2"/>
      <x:c r="E171" s="2"/>
      <x:c r="F171" s="2"/>
      <x:c r="G171" s="2"/>
      <x:c r="H171" s="2"/>
      <x:c r="I171" s="2"/>
      <x:c r="J171" s="2"/>
      <x:c r="K171" s="2"/>
      <x:c r="L171" s="2"/>
      <x:c r="M171" s="2"/>
    </x:row>
    <x:row r="172">
      <x:c r="A172" s="2"/>
      <x:c r="B172" s="2"/>
      <x:c r="C172" s="2"/>
      <x:c r="D172" s="2"/>
      <x:c r="E172" s="2"/>
      <x:c r="F172" s="2"/>
      <x:c r="G172" s="2"/>
      <x:c r="H172" s="2"/>
      <x:c r="I172" s="2"/>
      <x:c r="J172" s="2"/>
      <x:c r="K172" s="2"/>
      <x:c r="L172" s="2"/>
      <x:c r="M172" s="2"/>
    </x:row>
    <x:row r="173">
      <x:c r="A173" s="2"/>
      <x:c r="B173" s="2"/>
      <x:c r="C173" s="2"/>
      <x:c r="D173" s="2"/>
      <x:c r="E173" s="2"/>
      <x:c r="F173" s="2"/>
      <x:c r="G173" s="2"/>
      <x:c r="H173" s="2"/>
      <x:c r="I173" s="2"/>
      <x:c r="J173" s="2"/>
      <x:c r="K173" s="2"/>
      <x:c r="L173" s="2"/>
      <x:c r="M173" s="2"/>
    </x:row>
    <x:row r="174">
      <x:c r="A174" s="2"/>
      <x:c r="B174" s="2"/>
      <x:c r="C174" s="2"/>
      <x:c r="D174" s="2"/>
      <x:c r="E174" s="2"/>
      <x:c r="F174" s="2"/>
      <x:c r="G174" s="2"/>
      <x:c r="H174" s="2"/>
      <x:c r="I174" s="2"/>
      <x:c r="J174" s="2"/>
      <x:c r="K174" s="2"/>
      <x:c r="L174" s="2"/>
      <x:c r="M174" s="2"/>
    </x:row>
    <x:row r="175">
      <x:c r="A175" s="2"/>
      <x:c r="B175" s="2"/>
      <x:c r="C175" s="2"/>
      <x:c r="D175" s="2"/>
      <x:c r="E175" s="2"/>
      <x:c r="F175" s="2"/>
      <x:c r="G175" s="2"/>
      <x:c r="H175" s="2"/>
      <x:c r="I175" s="2"/>
      <x:c r="J175" s="2"/>
      <x:c r="K175" s="2"/>
      <x:c r="L175" s="2"/>
      <x:c r="M175" s="2"/>
    </x:row>
    <x:row r="176">
      <x:c r="A176" s="2"/>
      <x:c r="B176" s="2"/>
      <x:c r="C176" s="2"/>
      <x:c r="D176" s="2"/>
      <x:c r="E176" s="2"/>
      <x:c r="F176" s="2"/>
      <x:c r="G176" s="2"/>
      <x:c r="H176" s="2"/>
      <x:c r="I176" s="2"/>
      <x:c r="J176" s="2"/>
      <x:c r="K176" s="2"/>
      <x:c r="L176" s="2"/>
      <x:c r="M176" s="2"/>
    </x:row>
    <x:row r="177">
      <x:c r="A177" s="2"/>
      <x:c r="B177" s="2"/>
      <x:c r="C177" s="2"/>
      <x:c r="D177" s="2"/>
      <x:c r="E177" s="2"/>
      <x:c r="F177" s="2"/>
      <x:c r="G177" s="2"/>
      <x:c r="H177" s="2"/>
      <x:c r="I177" s="2"/>
      <x:c r="J177" s="2"/>
      <x:c r="K177" s="2"/>
      <x:c r="L177" s="2"/>
      <x:c r="M177" s="2"/>
    </x:row>
    <x:row r="178">
      <x:c r="A178" s="2"/>
      <x:c r="B178" s="2"/>
      <x:c r="C178" s="2"/>
      <x:c r="D178" s="2"/>
      <x:c r="E178" s="2"/>
      <x:c r="F178" s="2"/>
      <x:c r="G178" s="2"/>
      <x:c r="H178" s="2"/>
      <x:c r="I178" s="2"/>
      <x:c r="J178" s="2"/>
      <x:c r="K178" s="2"/>
      <x:c r="L178" s="2"/>
      <x:c r="M178" s="2"/>
    </x:row>
    <x:row r="179">
      <x:c r="A179" s="2"/>
      <x:c r="B179" s="2"/>
      <x:c r="C179" s="2"/>
      <x:c r="D179" s="2"/>
      <x:c r="E179" s="2"/>
      <x:c r="F179" s="2"/>
      <x:c r="G179" s="2"/>
      <x:c r="H179" s="2"/>
      <x:c r="I179" s="2"/>
      <x:c r="J179" s="2"/>
      <x:c r="K179" s="2"/>
      <x:c r="L179" s="2"/>
      <x:c r="M179" s="2"/>
    </x:row>
    <x:row r="180">
      <x:c r="A180" s="2"/>
      <x:c r="B180" s="2"/>
      <x:c r="C180" s="2"/>
      <x:c r="D180" s="2"/>
      <x:c r="E180" s="2"/>
      <x:c r="F180" s="2"/>
      <x:c r="G180" s="2"/>
      <x:c r="H180" s="2"/>
      <x:c r="I180" s="2"/>
      <x:c r="J180" s="2"/>
      <x:c r="K180" s="2"/>
      <x:c r="L180" s="2"/>
      <x:c r="M180" s="2"/>
    </x:row>
    <x:row r="181">
      <x:c r="A181" s="2"/>
      <x:c r="B181" s="2"/>
      <x:c r="C181" s="2"/>
      <x:c r="D181" s="2"/>
      <x:c r="E181" s="2"/>
      <x:c r="F181" s="2"/>
      <x:c r="G181" s="2"/>
      <x:c r="H181" s="2"/>
      <x:c r="I181" s="2"/>
      <x:c r="J181" s="2"/>
      <x:c r="K181" s="2"/>
      <x:c r="L181" s="2"/>
      <x:c r="M181" s="2"/>
    </x:row>
    <x:row r="182">
      <x:c r="A182" s="2"/>
      <x:c r="B182" s="2"/>
      <x:c r="C182" s="2"/>
      <x:c r="D182" s="2"/>
      <x:c r="E182" s="2"/>
      <x:c r="F182" s="2"/>
      <x:c r="G182" s="2"/>
      <x:c r="H182" s="2"/>
      <x:c r="I182" s="2"/>
      <x:c r="J182" s="2"/>
      <x:c r="K182" s="2"/>
      <x:c r="L182" s="2"/>
      <x:c r="M182" s="2"/>
    </x:row>
    <x:row r="183">
      <x:c r="A183" s="2"/>
      <x:c r="B183" s="2"/>
      <x:c r="C183" s="2"/>
      <x:c r="D183" s="2"/>
      <x:c r="E183" s="2"/>
      <x:c r="F183" s="2"/>
      <x:c r="G183" s="2"/>
      <x:c r="H183" s="2"/>
      <x:c r="I183" s="2"/>
      <x:c r="J183" s="2"/>
      <x:c r="K183" s="2"/>
      <x:c r="L183" s="2"/>
      <x:c r="M183" s="2"/>
    </x:row>
    <x:row r="184">
      <x:c r="A184" s="2"/>
      <x:c r="B184" s="2"/>
      <x:c r="C184" s="2"/>
      <x:c r="D184" s="2"/>
      <x:c r="E184" s="2"/>
      <x:c r="F184" s="2"/>
      <x:c r="G184" s="2"/>
      <x:c r="H184" s="2"/>
      <x:c r="I184" s="2"/>
      <x:c r="J184" s="2"/>
      <x:c r="K184" s="2"/>
      <x:c r="L184" s="2"/>
      <x:c r="M184" s="2"/>
    </x:row>
    <x:row r="185">
      <x:c r="A185" s="2"/>
      <x:c r="B185" s="2"/>
      <x:c r="C185" s="2"/>
      <x:c r="D185" s="2"/>
      <x:c r="E185" s="2"/>
      <x:c r="F185" s="2"/>
      <x:c r="G185" s="2"/>
      <x:c r="H185" s="2"/>
      <x:c r="I185" s="2"/>
      <x:c r="J185" s="2"/>
      <x:c r="K185" s="2"/>
      <x:c r="L185" s="2"/>
      <x:c r="M185" s="2"/>
    </x:row>
    <x:row r="186">
      <x:c r="A186" s="2"/>
      <x:c r="B186" s="2"/>
      <x:c r="C186" s="2"/>
      <x:c r="D186" s="2"/>
      <x:c r="E186" s="2"/>
      <x:c r="F186" s="2"/>
      <x:c r="G186" s="2"/>
      <x:c r="H186" s="2"/>
      <x:c r="I186" s="2"/>
      <x:c r="J186" s="2"/>
      <x:c r="K186" s="2"/>
      <x:c r="L186" s="2"/>
      <x:c r="M186" s="2"/>
    </x:row>
    <x:row r="187">
      <x:c r="A187" s="2"/>
      <x:c r="B187" s="2"/>
      <x:c r="C187" s="2"/>
      <x:c r="D187" s="2"/>
      <x:c r="E187" s="2"/>
      <x:c r="F187" s="2"/>
      <x:c r="G187" s="2"/>
      <x:c r="H187" s="2"/>
      <x:c r="I187" s="2"/>
      <x:c r="J187" s="2"/>
      <x:c r="K187" s="2"/>
      <x:c r="L187" s="2"/>
      <x:c r="M187" s="2"/>
    </x:row>
    <x:row r="188">
      <x:c r="A188" s="2"/>
      <x:c r="B188" s="2"/>
      <x:c r="C188" s="2"/>
      <x:c r="D188" s="2"/>
      <x:c r="E188" s="2"/>
      <x:c r="F188" s="2"/>
      <x:c r="G188" s="2"/>
      <x:c r="H188" s="2"/>
      <x:c r="I188" s="2"/>
      <x:c r="J188" s="2"/>
      <x:c r="K188" s="2"/>
      <x:c r="L188" s="2"/>
      <x:c r="M188" s="2"/>
    </x:row>
    <x:row r="189">
      <x:c r="A189" s="2"/>
      <x:c r="B189" s="2"/>
      <x:c r="C189" s="2"/>
      <x:c r="D189" s="2"/>
      <x:c r="E189" s="2"/>
      <x:c r="F189" s="2"/>
      <x:c r="G189" s="2"/>
      <x:c r="H189" s="2"/>
      <x:c r="I189" s="2"/>
      <x:c r="J189" s="2"/>
      <x:c r="K189" s="2"/>
      <x:c r="L189" s="2"/>
      <x:c r="M189" s="2"/>
    </x:row>
    <x:row r="190">
      <x:c r="A190" s="2"/>
      <x:c r="B190" s="2"/>
      <x:c r="C190" s="2"/>
      <x:c r="D190" s="2"/>
      <x:c r="E190" s="2"/>
      <x:c r="F190" s="2"/>
      <x:c r="G190" s="2"/>
      <x:c r="H190" s="2"/>
      <x:c r="I190" s="2"/>
      <x:c r="J190" s="2"/>
      <x:c r="K190" s="2"/>
      <x:c r="L190" s="2"/>
      <x:c r="M190" s="2"/>
    </x:row>
    <x:row r="191">
      <x:c r="A191" s="2"/>
      <x:c r="B191" s="2"/>
      <x:c r="C191" s="2"/>
      <x:c r="D191" s="2"/>
      <x:c r="E191" s="2"/>
      <x:c r="F191" s="2"/>
      <x:c r="G191" s="2"/>
      <x:c r="H191" s="2"/>
      <x:c r="I191" s="2"/>
      <x:c r="J191" s="2"/>
      <x:c r="K191" s="2"/>
      <x:c r="L191" s="2"/>
      <x:c r="M191" s="2"/>
    </x:row>
    <x:row r="192">
      <x:c r="A192" s="2"/>
      <x:c r="B192" s="2"/>
      <x:c r="C192" s="2"/>
      <x:c r="D192" s="2"/>
      <x:c r="E192" s="2"/>
      <x:c r="F192" s="2"/>
      <x:c r="G192" s="2"/>
      <x:c r="H192" s="2"/>
      <x:c r="I192" s="2"/>
      <x:c r="J192" s="2"/>
      <x:c r="K192" s="2"/>
      <x:c r="L192" s="2"/>
      <x:c r="M192" s="2"/>
    </x:row>
    <x:row r="193">
      <x:c r="A193" s="2"/>
      <x:c r="B193" s="2"/>
      <x:c r="C193" s="2"/>
      <x:c r="D193" s="2"/>
      <x:c r="E193" s="2"/>
      <x:c r="F193" s="2"/>
      <x:c r="G193" s="2"/>
      <x:c r="H193" s="2"/>
      <x:c r="I193" s="2"/>
      <x:c r="J193" s="2"/>
      <x:c r="K193" s="2"/>
      <x:c r="L193" s="2"/>
      <x:c r="M193" s="2"/>
    </x:row>
    <x:row r="194">
      <x:c r="A194" s="2"/>
      <x:c r="B194" s="2"/>
      <x:c r="C194" s="2"/>
      <x:c r="D194" s="2"/>
      <x:c r="E194" s="2"/>
      <x:c r="F194" s="2"/>
      <x:c r="G194" s="2"/>
      <x:c r="H194" s="2"/>
      <x:c r="I194" s="2"/>
      <x:c r="J194" s="2"/>
      <x:c r="K194" s="2"/>
      <x:c r="L194" s="2"/>
      <x:c r="M194" s="2"/>
    </x:row>
    <x:row r="195">
      <x:c r="A195" s="2"/>
      <x:c r="B195" s="2"/>
      <x:c r="C195" s="2"/>
      <x:c r="D195" s="2"/>
      <x:c r="E195" s="2"/>
      <x:c r="F195" s="2"/>
      <x:c r="G195" s="2"/>
      <x:c r="H195" s="2"/>
      <x:c r="I195" s="2"/>
      <x:c r="J195" s="2"/>
      <x:c r="K195" s="2"/>
      <x:c r="L195" s="2"/>
      <x:c r="M195" s="2"/>
    </x:row>
    <x:row r="196">
      <x:c r="A196" s="2"/>
      <x:c r="B196" s="2"/>
      <x:c r="C196" s="2"/>
      <x:c r="D196" s="2"/>
      <x:c r="E196" s="2"/>
      <x:c r="F196" s="2"/>
      <x:c r="G196" s="2"/>
      <x:c r="H196" s="2"/>
      <x:c r="I196" s="2"/>
      <x:c r="J196" s="2"/>
      <x:c r="K196" s="2"/>
      <x:c r="L196" s="2"/>
      <x:c r="M196" s="2"/>
    </x:row>
    <x:row r="197">
      <x:c r="A197" s="2"/>
      <x:c r="B197" s="2"/>
      <x:c r="C197" s="2"/>
      <x:c r="D197" s="2"/>
      <x:c r="E197" s="2"/>
      <x:c r="F197" s="2"/>
      <x:c r="G197" s="2"/>
      <x:c r="H197" s="2"/>
      <x:c r="I197" s="2"/>
      <x:c r="J197" s="2"/>
      <x:c r="K197" s="2"/>
      <x:c r="L197" s="2"/>
      <x:c r="M197" s="2"/>
    </x:row>
    <x:row r="198">
      <x:c r="A198" s="2"/>
      <x:c r="B198" s="2"/>
      <x:c r="C198" s="2"/>
      <x:c r="D198" s="2"/>
      <x:c r="E198" s="2"/>
      <x:c r="F198" s="2"/>
      <x:c r="G198" s="2"/>
      <x:c r="H198" s="2"/>
      <x:c r="I198" s="2"/>
      <x:c r="J198" s="2"/>
      <x:c r="K198" s="2"/>
      <x:c r="L198" s="2"/>
      <x:c r="M198" s="2"/>
    </x:row>
    <x:row r="199">
      <x:c r="A199" s="2"/>
      <x:c r="B199" s="2"/>
      <x:c r="C199" s="2"/>
      <x:c r="D199" s="2"/>
      <x:c r="E199" s="2"/>
      <x:c r="F199" s="2"/>
      <x:c r="G199" s="2"/>
      <x:c r="H199" s="2"/>
      <x:c r="I199" s="2"/>
      <x:c r="J199" s="2"/>
      <x:c r="K199" s="2"/>
      <x:c r="L199" s="2"/>
      <x:c r="M199" s="2"/>
    </x:row>
    <x:row r="200">
      <x:c r="A200" s="2"/>
      <x:c r="B200" s="2"/>
      <x:c r="C200" s="2"/>
      <x:c r="D200" s="2"/>
      <x:c r="E200" s="2"/>
      <x:c r="F200" s="2"/>
      <x:c r="G200" s="2"/>
      <x:c r="H200" s="2"/>
      <x:c r="I200" s="2"/>
      <x:c r="J200" s="2"/>
      <x:c r="K200" s="2"/>
      <x:c r="L200" s="2"/>
      <x:c r="M200" s="2"/>
    </x:row>
    <x:row r="201">
      <x:c r="A201" s="2"/>
      <x:c r="B201" s="2"/>
      <x:c r="C201" s="2"/>
      <x:c r="D201" s="2"/>
      <x:c r="E201" s="2"/>
      <x:c r="F201" s="2"/>
      <x:c r="G201" s="2"/>
      <x:c r="H201" s="2"/>
      <x:c r="I201" s="2"/>
      <x:c r="J201" s="2"/>
      <x:c r="K201" s="2"/>
      <x:c r="L201" s="2"/>
      <x:c r="M201" s="2"/>
    </x:row>
    <x:row r="202">
      <x:c r="A202" s="2"/>
      <x:c r="B202" s="2"/>
      <x:c r="C202" s="2"/>
      <x:c r="D202" s="2"/>
      <x:c r="E202" s="2"/>
      <x:c r="F202" s="2"/>
      <x:c r="G202" s="2"/>
      <x:c r="H202" s="2"/>
      <x:c r="I202" s="2"/>
      <x:c r="J202" s="2"/>
      <x:c r="K202" s="2"/>
      <x:c r="L202" s="2"/>
      <x:c r="M202" s="2"/>
    </x:row>
    <x:row r="203">
      <x:c r="A203" s="2"/>
      <x:c r="B203" s="2"/>
      <x:c r="C203" s="2"/>
      <x:c r="D203" s="2"/>
      <x:c r="E203" s="2"/>
      <x:c r="F203" s="2"/>
      <x:c r="G203" s="2"/>
      <x:c r="H203" s="2"/>
      <x:c r="I203" s="2"/>
      <x:c r="J203" s="2"/>
      <x:c r="K203" s="2"/>
      <x:c r="L203" s="2"/>
      <x:c r="M203" s="2"/>
    </x:row>
    <x:row r="204">
      <x:c r="A204" s="2"/>
      <x:c r="B204" s="2"/>
      <x:c r="C204" s="2"/>
      <x:c r="D204" s="2"/>
      <x:c r="E204" s="2"/>
      <x:c r="F204" s="2"/>
      <x:c r="G204" s="2"/>
      <x:c r="H204" s="2"/>
      <x:c r="I204" s="2"/>
      <x:c r="J204" s="2"/>
      <x:c r="K204" s="2"/>
      <x:c r="L204" s="2"/>
      <x:c r="M204" s="2"/>
    </x:row>
    <x:row r="205">
      <x:c r="A205" s="2"/>
      <x:c r="B205" s="2"/>
      <x:c r="C205" s="2"/>
      <x:c r="D205" s="2"/>
      <x:c r="E205" s="2"/>
      <x:c r="F205" s="2"/>
      <x:c r="G205" s="2"/>
      <x:c r="H205" s="2"/>
      <x:c r="I205" s="2"/>
      <x:c r="J205" s="2"/>
      <x:c r="K205" s="2"/>
      <x:c r="L205" s="2"/>
      <x:c r="M205" s="2"/>
    </x:row>
    <x:row r="206">
      <x:c r="A206" s="2"/>
      <x:c r="B206" s="2"/>
      <x:c r="C206" s="2"/>
      <x:c r="D206" s="2"/>
      <x:c r="E206" s="2"/>
      <x:c r="F206" s="2"/>
      <x:c r="G206" s="2"/>
      <x:c r="H206" s="2"/>
      <x:c r="I206" s="2"/>
      <x:c r="J206" s="2"/>
      <x:c r="K206" s="2"/>
      <x:c r="L206" s="2"/>
      <x:c r="M206" s="2"/>
    </x:row>
    <x:row r="207">
      <x:c r="A207" s="2"/>
      <x:c r="B207" s="2"/>
      <x:c r="C207" s="2"/>
      <x:c r="D207" s="2"/>
      <x:c r="E207" s="2"/>
      <x:c r="F207" s="2"/>
      <x:c r="G207" s="2"/>
      <x:c r="H207" s="2"/>
      <x:c r="I207" s="2"/>
      <x:c r="J207" s="2"/>
      <x:c r="K207" s="2"/>
      <x:c r="L207" s="2"/>
      <x:c r="M207" s="2"/>
    </x:row>
    <x:row r="208">
      <x:c r="A208" s="2"/>
      <x:c r="B208" s="2"/>
      <x:c r="C208" s="2"/>
      <x:c r="D208" s="2"/>
      <x:c r="E208" s="2"/>
      <x:c r="F208" s="2"/>
      <x:c r="G208" s="2"/>
      <x:c r="H208" s="2"/>
      <x:c r="I208" s="2"/>
      <x:c r="J208" s="2"/>
      <x:c r="K208" s="2"/>
      <x:c r="L208" s="2"/>
      <x:c r="M208" s="2"/>
    </x:row>
    <x:row r="209">
      <x:c r="A209" s="2"/>
      <x:c r="B209" s="2"/>
      <x:c r="C209" s="2"/>
      <x:c r="D209" s="2"/>
      <x:c r="E209" s="2"/>
      <x:c r="F209" s="2"/>
      <x:c r="G209" s="2"/>
      <x:c r="H209" s="2"/>
      <x:c r="I209" s="2"/>
      <x:c r="J209" s="2"/>
      <x:c r="K209" s="2"/>
      <x:c r="L209" s="2"/>
      <x:c r="M209" s="2"/>
    </x:row>
    <x:row r="210">
      <x:c r="A210" s="2"/>
      <x:c r="B210" s="2"/>
      <x:c r="C210" s="2"/>
      <x:c r="D210" s="2"/>
      <x:c r="E210" s="2"/>
      <x:c r="F210" s="2"/>
      <x:c r="G210" s="2"/>
      <x:c r="H210" s="2"/>
      <x:c r="I210" s="2"/>
      <x:c r="J210" s="2"/>
      <x:c r="K210" s="2"/>
      <x:c r="L210" s="2"/>
      <x:c r="M210" s="2"/>
    </x:row>
    <x:row r="211">
      <x:c r="A211" s="2"/>
      <x:c r="B211" s="2"/>
      <x:c r="C211" s="2"/>
      <x:c r="D211" s="2"/>
      <x:c r="E211" s="2"/>
      <x:c r="F211" s="2"/>
      <x:c r="G211" s="2"/>
      <x:c r="H211" s="2"/>
      <x:c r="I211" s="2"/>
      <x:c r="J211" s="2"/>
      <x:c r="K211" s="2"/>
      <x:c r="L211" s="2"/>
      <x:c r="M211" s="2"/>
    </x:row>
    <x:row r="212">
      <x:c r="A212" s="2"/>
      <x:c r="B212" s="2"/>
      <x:c r="C212" s="2"/>
      <x:c r="D212" s="2"/>
      <x:c r="E212" s="2"/>
      <x:c r="F212" s="2"/>
      <x:c r="G212" s="2"/>
      <x:c r="H212" s="2"/>
      <x:c r="I212" s="2"/>
      <x:c r="J212" s="2"/>
      <x:c r="K212" s="2"/>
      <x:c r="L212" s="2"/>
      <x:c r="M212" s="2"/>
    </x:row>
    <x:row r="213">
      <x:c r="A213" s="2"/>
      <x:c r="B213" s="2"/>
      <x:c r="C213" s="2"/>
      <x:c r="D213" s="2"/>
      <x:c r="E213" s="2"/>
      <x:c r="F213" s="2"/>
      <x:c r="G213" s="2"/>
      <x:c r="H213" s="2"/>
      <x:c r="I213" s="2"/>
      <x:c r="J213" s="2"/>
      <x:c r="K213" s="2"/>
      <x:c r="L213" s="2"/>
      <x:c r="M213" s="2"/>
    </x:row>
    <x:row r="214">
      <x:c r="A214" s="2"/>
      <x:c r="B214" s="2"/>
      <x:c r="C214" s="2"/>
      <x:c r="D214" s="2"/>
      <x:c r="E214" s="2"/>
      <x:c r="F214" s="2"/>
      <x:c r="G214" s="2"/>
      <x:c r="H214" s="2"/>
      <x:c r="I214" s="2"/>
      <x:c r="J214" s="2"/>
      <x:c r="K214" s="2"/>
      <x:c r="L214" s="2"/>
      <x:c r="M214" s="2"/>
    </x:row>
    <x:row r="215">
      <x:c r="A215" s="2"/>
      <x:c r="B215" s="2"/>
      <x:c r="C215" s="2"/>
      <x:c r="D215" s="2"/>
      <x:c r="E215" s="2"/>
      <x:c r="F215" s="2"/>
      <x:c r="G215" s="2"/>
      <x:c r="H215" s="2"/>
      <x:c r="I215" s="2"/>
      <x:c r="J215" s="2"/>
      <x:c r="K215" s="2"/>
      <x:c r="L215" s="2"/>
      <x:c r="M215" s="2"/>
    </x:row>
    <x:row r="216">
      <x:c r="A216" s="2"/>
      <x:c r="B216" s="2"/>
      <x:c r="C216" s="2"/>
      <x:c r="D216" s="2"/>
      <x:c r="E216" s="2"/>
      <x:c r="F216" s="2"/>
      <x:c r="G216" s="2"/>
      <x:c r="H216" s="2"/>
      <x:c r="I216" s="2"/>
      <x:c r="J216" s="2"/>
      <x:c r="K216" s="2"/>
      <x:c r="L216" s="2"/>
      <x:c r="M216" s="2"/>
    </x:row>
    <x:row r="217">
      <x:c r="A217" s="2"/>
      <x:c r="B217" s="2"/>
      <x:c r="C217" s="2"/>
      <x:c r="D217" s="2"/>
      <x:c r="E217" s="2"/>
      <x:c r="F217" s="2"/>
      <x:c r="G217" s="2"/>
      <x:c r="H217" s="2"/>
      <x:c r="I217" s="2"/>
      <x:c r="J217" s="2"/>
      <x:c r="K217" s="2"/>
      <x:c r="L217" s="2"/>
      <x:c r="M217" s="2"/>
    </x:row>
    <x:row r="218">
      <x:c r="A218" s="2"/>
      <x:c r="B218" s="2"/>
      <x:c r="C218" s="2"/>
      <x:c r="D218" s="2"/>
      <x:c r="E218" s="2"/>
      <x:c r="F218" s="2"/>
      <x:c r="G218" s="2"/>
      <x:c r="H218" s="2"/>
      <x:c r="I218" s="2"/>
      <x:c r="J218" s="2"/>
      <x:c r="K218" s="2"/>
      <x:c r="L218" s="2"/>
      <x:c r="M218" s="2"/>
    </x:row>
    <x:row r="219">
      <x:c r="A219" s="2"/>
      <x:c r="B219" s="2"/>
      <x:c r="C219" s="2"/>
      <x:c r="D219" s="2"/>
      <x:c r="E219" s="2"/>
      <x:c r="F219" s="2"/>
      <x:c r="G219" s="2"/>
      <x:c r="H219" s="2"/>
      <x:c r="I219" s="2"/>
      <x:c r="J219" s="2"/>
      <x:c r="K219" s="2"/>
      <x:c r="L219" s="2"/>
      <x:c r="M219" s="2"/>
    </x:row>
    <x:row r="220">
      <x:c r="A220" s="2"/>
      <x:c r="B220" s="2"/>
      <x:c r="C220" s="2"/>
      <x:c r="D220" s="2"/>
      <x:c r="E220" s="2"/>
      <x:c r="F220" s="2"/>
      <x:c r="G220" s="2"/>
      <x:c r="H220" s="2"/>
      <x:c r="I220" s="2"/>
      <x:c r="J220" s="2"/>
      <x:c r="K220" s="2"/>
      <x:c r="L220" s="2"/>
      <x:c r="M220" s="2"/>
    </x:row>
    <x:row r="221">
      <x:c r="A221" s="2"/>
      <x:c r="B221" s="2"/>
      <x:c r="C221" s="2"/>
      <x:c r="D221" s="2"/>
      <x:c r="E221" s="2"/>
      <x:c r="F221" s="2"/>
      <x:c r="G221" s="2"/>
      <x:c r="H221" s="2"/>
      <x:c r="I221" s="2"/>
      <x:c r="J221" s="2"/>
      <x:c r="K221" s="2"/>
      <x:c r="L221" s="2"/>
      <x:c r="M221" s="2"/>
    </x:row>
    <x:row r="222">
      <x:c r="A222" s="2"/>
      <x:c r="B222" s="2"/>
      <x:c r="C222" s="2"/>
      <x:c r="D222" s="2"/>
      <x:c r="E222" s="2"/>
      <x:c r="F222" s="2"/>
      <x:c r="G222" s="2"/>
      <x:c r="H222" s="2"/>
      <x:c r="I222" s="2"/>
      <x:c r="J222" s="2"/>
      <x:c r="K222" s="2"/>
      <x:c r="L222" s="2"/>
      <x:c r="M222" s="2"/>
    </x:row>
    <x:row r="223">
      <x:c r="A223" s="2"/>
      <x:c r="B223" s="2"/>
      <x:c r="C223" s="2"/>
      <x:c r="D223" s="2"/>
      <x:c r="E223" s="2"/>
      <x:c r="F223" s="2"/>
      <x:c r="G223" s="2"/>
      <x:c r="H223" s="2"/>
      <x:c r="I223" s="2"/>
      <x:c r="J223" s="2"/>
      <x:c r="K223" s="2"/>
      <x:c r="L223" s="2"/>
      <x:c r="M223" s="2"/>
    </x:row>
    <x:row r="224">
      <x:c r="A224" s="2"/>
      <x:c r="B224" s="2"/>
      <x:c r="C224" s="2"/>
      <x:c r="D224" s="2"/>
      <x:c r="E224" s="2"/>
      <x:c r="F224" s="2"/>
      <x:c r="G224" s="2"/>
      <x:c r="H224" s="2"/>
      <x:c r="I224" s="2"/>
      <x:c r="J224" s="2"/>
      <x:c r="K224" s="2"/>
      <x:c r="L224" s="2"/>
      <x:c r="M224" s="2"/>
    </x:row>
    <x:row r="225">
      <x:c r="A225" s="2"/>
      <x:c r="B225" s="2"/>
      <x:c r="C225" s="2"/>
      <x:c r="D225" s="2"/>
      <x:c r="E225" s="2"/>
      <x:c r="F225" s="2"/>
      <x:c r="G225" s="2"/>
      <x:c r="H225" s="2"/>
      <x:c r="I225" s="2"/>
      <x:c r="J225" s="2"/>
      <x:c r="K225" s="2"/>
      <x:c r="L225" s="2"/>
      <x:c r="M225" s="2"/>
    </x:row>
    <x:row r="226">
      <x:c r="A226" s="2"/>
      <x:c r="B226" s="2"/>
      <x:c r="C226" s="2"/>
      <x:c r="D226" s="2"/>
      <x:c r="E226" s="2"/>
      <x:c r="F226" s="2"/>
      <x:c r="G226" s="2"/>
      <x:c r="H226" s="2"/>
      <x:c r="I226" s="2"/>
      <x:c r="J226" s="2"/>
      <x:c r="K226" s="2"/>
      <x:c r="L226" s="2"/>
      <x:c r="M226" s="2"/>
    </x:row>
    <x:row r="227">
      <x:c r="A227" s="2"/>
      <x:c r="B227" s="2"/>
      <x:c r="C227" s="2"/>
      <x:c r="D227" s="2"/>
      <x:c r="E227" s="2"/>
      <x:c r="F227" s="2"/>
      <x:c r="G227" s="2"/>
      <x:c r="H227" s="2"/>
      <x:c r="I227" s="2"/>
      <x:c r="J227" s="2"/>
      <x:c r="K227" s="2"/>
      <x:c r="L227" s="2"/>
      <x:c r="M227" s="2"/>
    </x:row>
    <x:row r="228">
      <x:c r="A228" s="2"/>
      <x:c r="B228" s="2"/>
      <x:c r="C228" s="2"/>
      <x:c r="D228" s="2"/>
      <x:c r="E228" s="2"/>
      <x:c r="F228" s="2"/>
      <x:c r="G228" s="2"/>
      <x:c r="H228" s="2"/>
      <x:c r="I228" s="2"/>
      <x:c r="J228" s="2"/>
      <x:c r="K228" s="2"/>
      <x:c r="L228" s="2"/>
      <x:c r="M228" s="2"/>
    </x:row>
    <x:row r="229">
      <x:c r="A229" s="2"/>
      <x:c r="B229" s="2"/>
      <x:c r="C229" s="2"/>
      <x:c r="D229" s="2"/>
      <x:c r="E229" s="2"/>
      <x:c r="F229" s="2"/>
      <x:c r="G229" s="2"/>
      <x:c r="H229" s="2"/>
      <x:c r="I229" s="2"/>
      <x:c r="J229" s="2"/>
      <x:c r="K229" s="2"/>
      <x:c r="L229" s="2"/>
      <x:c r="M229" s="2"/>
    </x:row>
    <x:row r="230">
      <x:c r="A230" s="2"/>
      <x:c r="B230" s="2"/>
      <x:c r="C230" s="2"/>
      <x:c r="D230" s="2"/>
      <x:c r="E230" s="2"/>
      <x:c r="F230" s="2"/>
      <x:c r="G230" s="2"/>
      <x:c r="H230" s="2"/>
      <x:c r="I230" s="2"/>
      <x:c r="J230" s="2"/>
      <x:c r="K230" s="2"/>
      <x:c r="L230" s="2"/>
      <x:c r="M230" s="2"/>
    </x:row>
    <x:row r="231">
      <x:c r="A231" s="2"/>
      <x:c r="B231" s="2"/>
      <x:c r="C231" s="2"/>
      <x:c r="D231" s="2"/>
      <x:c r="E231" s="2"/>
      <x:c r="F231" s="2"/>
      <x:c r="G231" s="2"/>
      <x:c r="H231" s="2"/>
      <x:c r="I231" s="2"/>
      <x:c r="J231" s="2"/>
      <x:c r="K231" s="2"/>
      <x:c r="L231" s="2"/>
      <x:c r="M231" s="2"/>
    </x:row>
    <x:row r="232">
      <x:c r="A232" s="2"/>
      <x:c r="B232" s="2"/>
      <x:c r="C232" s="2"/>
      <x:c r="D232" s="2"/>
      <x:c r="E232" s="2"/>
      <x:c r="F232" s="2"/>
      <x:c r="G232" s="2"/>
      <x:c r="H232" s="2"/>
      <x:c r="I232" s="2"/>
      <x:c r="J232" s="2"/>
      <x:c r="K232" s="2"/>
      <x:c r="L232" s="2"/>
      <x:c r="M232" s="2"/>
    </x:row>
    <x:row r="233">
      <x:c r="A233" s="2"/>
      <x:c r="B233" s="2"/>
      <x:c r="C233" s="2"/>
      <x:c r="D233" s="2"/>
      <x:c r="E233" s="2"/>
      <x:c r="F233" s="2"/>
      <x:c r="G233" s="2"/>
      <x:c r="H233" s="2"/>
      <x:c r="I233" s="2"/>
      <x:c r="J233" s="2"/>
      <x:c r="K233" s="2"/>
      <x:c r="L233" s="2"/>
      <x:c r="M233" s="2"/>
    </x:row>
    <x:row r="234">
      <x:c r="A234" s="2"/>
      <x:c r="B234" s="2"/>
      <x:c r="C234" s="2"/>
      <x:c r="D234" s="2"/>
      <x:c r="E234" s="2"/>
      <x:c r="F234" s="2"/>
      <x:c r="G234" s="2"/>
      <x:c r="H234" s="2"/>
      <x:c r="I234" s="2"/>
      <x:c r="J234" s="2"/>
      <x:c r="K234" s="2"/>
      <x:c r="L234" s="2"/>
      <x:c r="M234" s="2"/>
    </x:row>
    <x:row r="235">
      <x:c r="A235" s="2"/>
      <x:c r="B235" s="2"/>
      <x:c r="C235" s="2"/>
      <x:c r="D235" s="2"/>
      <x:c r="E235" s="2"/>
      <x:c r="F235" s="2"/>
      <x:c r="G235" s="2"/>
      <x:c r="H235" s="2"/>
      <x:c r="I235" s="2"/>
      <x:c r="J235" s="2"/>
      <x:c r="K235" s="2"/>
      <x:c r="L235" s="2"/>
      <x:c r="M235" s="2"/>
    </x:row>
    <x:row r="236">
      <x:c r="A236" s="2"/>
      <x:c r="B236" s="2"/>
      <x:c r="C236" s="2"/>
      <x:c r="D236" s="2"/>
      <x:c r="E236" s="2"/>
      <x:c r="F236" s="2"/>
      <x:c r="G236" s="2"/>
      <x:c r="H236" s="2"/>
      <x:c r="I236" s="2"/>
      <x:c r="J236" s="2"/>
      <x:c r="K236" s="2"/>
      <x:c r="L236" s="2"/>
      <x:c r="M236" s="2"/>
    </x:row>
    <x:row r="237">
      <x:c r="A237" s="2"/>
      <x:c r="B237" s="2"/>
      <x:c r="C237" s="2"/>
      <x:c r="D237" s="2"/>
      <x:c r="E237" s="2"/>
      <x:c r="F237" s="2"/>
      <x:c r="G237" s="2"/>
      <x:c r="H237" s="2"/>
      <x:c r="I237" s="2"/>
      <x:c r="J237" s="2"/>
      <x:c r="K237" s="2"/>
      <x:c r="L237" s="2"/>
      <x:c r="M237" s="2"/>
    </x:row>
    <x:row r="238">
      <x:c r="A238" s="2"/>
      <x:c r="B238" s="2"/>
      <x:c r="C238" s="2"/>
      <x:c r="D238" s="2"/>
      <x:c r="E238" s="2"/>
      <x:c r="F238" s="2"/>
      <x:c r="G238" s="2"/>
      <x:c r="H238" s="2"/>
      <x:c r="I238" s="2"/>
      <x:c r="J238" s="2"/>
      <x:c r="K238" s="2"/>
      <x:c r="L238" s="2"/>
      <x:c r="M238" s="2"/>
    </x:row>
    <x:row r="239">
      <x:c r="A239" s="2"/>
      <x:c r="B239" s="2"/>
      <x:c r="C239" s="2"/>
      <x:c r="D239" s="2"/>
      <x:c r="E239" s="2"/>
      <x:c r="F239" s="2"/>
      <x:c r="G239" s="2"/>
      <x:c r="H239" s="2"/>
      <x:c r="I239" s="2"/>
      <x:c r="J239" s="2"/>
      <x:c r="K239" s="2"/>
      <x:c r="L239" s="2"/>
      <x:c r="M239" s="2"/>
    </x:row>
    <x:row r="240">
      <x:c r="A240" s="2"/>
      <x:c r="B240" s="2"/>
      <x:c r="C240" s="2"/>
      <x:c r="D240" s="2"/>
      <x:c r="E240" s="2"/>
      <x:c r="F240" s="2"/>
      <x:c r="G240" s="2"/>
      <x:c r="H240" s="2"/>
      <x:c r="I240" s="2"/>
      <x:c r="J240" s="2"/>
      <x:c r="K240" s="2"/>
      <x:c r="L240" s="2"/>
      <x:c r="M240" s="2"/>
    </x:row>
    <x:row r="241">
      <x:c r="A241" s="2"/>
      <x:c r="B241" s="2"/>
      <x:c r="C241" s="2"/>
      <x:c r="D241" s="2"/>
      <x:c r="E241" s="2"/>
      <x:c r="F241" s="2"/>
      <x:c r="G241" s="2"/>
      <x:c r="H241" s="2"/>
      <x:c r="I241" s="2"/>
      <x:c r="J241" s="2"/>
      <x:c r="K241" s="2"/>
      <x:c r="L241" s="2"/>
      <x:c r="M241" s="2"/>
    </x:row>
    <x:row r="242">
      <x:c r="A242" s="2"/>
      <x:c r="B242" s="2"/>
      <x:c r="C242" s="2"/>
      <x:c r="D242" s="2"/>
      <x:c r="E242" s="2"/>
      <x:c r="F242" s="2"/>
      <x:c r="G242" s="2"/>
      <x:c r="H242" s="2"/>
      <x:c r="I242" s="2"/>
      <x:c r="J242" s="2"/>
      <x:c r="K242" s="2"/>
      <x:c r="L242" s="2"/>
      <x:c r="M242" s="2"/>
    </x:row>
    <x:row r="243">
      <x:c r="A243" s="2"/>
      <x:c r="B243" s="2"/>
      <x:c r="C243" s="2"/>
      <x:c r="D243" s="2"/>
      <x:c r="E243" s="2"/>
      <x:c r="F243" s="2"/>
      <x:c r="G243" s="2"/>
      <x:c r="H243" s="2"/>
      <x:c r="I243" s="2"/>
      <x:c r="J243" s="2"/>
      <x:c r="K243" s="2"/>
      <x:c r="L243" s="2"/>
      <x:c r="M243" s="2"/>
    </x:row>
    <x:row r="244">
      <x:c r="A244" s="2"/>
      <x:c r="B244" s="2"/>
      <x:c r="C244" s="2"/>
      <x:c r="D244" s="2"/>
      <x:c r="E244" s="2"/>
      <x:c r="F244" s="2"/>
      <x:c r="G244" s="2"/>
      <x:c r="H244" s="2"/>
      <x:c r="I244" s="2"/>
      <x:c r="J244" s="2"/>
      <x:c r="K244" s="2"/>
      <x:c r="L244" s="2"/>
      <x:c r="M244" s="2"/>
    </x:row>
    <x:row r="245">
      <x:c r="A245" s="2"/>
      <x:c r="B245" s="2"/>
      <x:c r="C245" s="2"/>
      <x:c r="D245" s="2"/>
      <x:c r="E245" s="2"/>
      <x:c r="F245" s="2"/>
      <x:c r="G245" s="2"/>
      <x:c r="H245" s="2"/>
      <x:c r="I245" s="2"/>
      <x:c r="J245" s="2"/>
      <x:c r="K245" s="2"/>
      <x:c r="L245" s="2"/>
      <x:c r="M245" s="2"/>
    </x:row>
    <x:row r="246">
      <x:c r="A246" s="2"/>
      <x:c r="B246" s="2"/>
      <x:c r="C246" s="2"/>
      <x:c r="D246" s="2"/>
      <x:c r="E246" s="2"/>
      <x:c r="F246" s="2"/>
      <x:c r="G246" s="2"/>
      <x:c r="H246" s="2"/>
      <x:c r="I246" s="2"/>
      <x:c r="J246" s="2"/>
      <x:c r="K246" s="2"/>
      <x:c r="L246" s="2"/>
      <x:c r="M246" s="2"/>
    </x:row>
    <x:row r="247">
      <x:c r="A247" s="2"/>
      <x:c r="B247" s="2"/>
      <x:c r="C247" s="2"/>
      <x:c r="D247" s="2"/>
      <x:c r="E247" s="2"/>
      <x:c r="F247" s="2"/>
      <x:c r="G247" s="2"/>
      <x:c r="H247" s="2"/>
      <x:c r="I247" s="2"/>
      <x:c r="J247" s="2"/>
      <x:c r="K247" s="2"/>
      <x:c r="L247" s="2"/>
      <x:c r="M247" s="2"/>
    </x:row>
    <x:row r="248">
      <x:c r="A248" s="2"/>
      <x:c r="B248" s="2"/>
      <x:c r="C248" s="2"/>
      <x:c r="D248" s="2"/>
      <x:c r="E248" s="2"/>
      <x:c r="F248" s="2"/>
      <x:c r="G248" s="2"/>
      <x:c r="H248" s="2"/>
      <x:c r="I248" s="2"/>
      <x:c r="J248" s="2"/>
      <x:c r="K248" s="2"/>
      <x:c r="L248" s="2"/>
      <x:c r="M248" s="2"/>
    </x:row>
    <x:row r="249">
      <x:c r="A249" s="2"/>
      <x:c r="B249" s="2"/>
      <x:c r="C249" s="2"/>
      <x:c r="D249" s="2"/>
      <x:c r="E249" s="2"/>
      <x:c r="F249" s="2"/>
      <x:c r="G249" s="2"/>
      <x:c r="H249" s="2"/>
      <x:c r="I249" s="2"/>
      <x:c r="J249" s="2"/>
      <x:c r="K249" s="2"/>
      <x:c r="L249" s="2"/>
      <x:c r="M249" s="2"/>
    </x:row>
    <x:row r="250">
      <x:c r="A250" s="2"/>
      <x:c r="B250" s="2"/>
      <x:c r="C250" s="2"/>
      <x:c r="D250" s="2"/>
      <x:c r="E250" s="2"/>
      <x:c r="F250" s="2"/>
      <x:c r="G250" s="2"/>
      <x:c r="H250" s="2"/>
      <x:c r="I250" s="2"/>
      <x:c r="J250" s="2"/>
      <x:c r="K250" s="2"/>
      <x:c r="L250" s="2"/>
      <x:c r="M250" s="2"/>
    </x:row>
    <x:row r="251">
      <x:c r="A251" s="2"/>
      <x:c r="B251" s="2"/>
      <x:c r="C251" s="2"/>
      <x:c r="D251" s="2"/>
      <x:c r="E251" s="2"/>
      <x:c r="F251" s="2"/>
      <x:c r="G251" s="2"/>
      <x:c r="H251" s="2"/>
      <x:c r="I251" s="2"/>
      <x:c r="J251" s="2"/>
      <x:c r="K251" s="2"/>
      <x:c r="L251" s="2"/>
      <x:c r="M251" s="2"/>
    </x:row>
    <x:row r="252">
      <x:c r="A252" s="2"/>
      <x:c r="B252" s="2"/>
      <x:c r="C252" s="2"/>
      <x:c r="D252" s="2"/>
      <x:c r="E252" s="2"/>
      <x:c r="F252" s="2"/>
      <x:c r="G252" s="2"/>
      <x:c r="H252" s="2"/>
      <x:c r="I252" s="2"/>
      <x:c r="J252" s="2"/>
      <x:c r="K252" s="2"/>
      <x:c r="L252" s="2"/>
      <x:c r="M252" s="2"/>
    </x:row>
    <x:row r="253">
      <x:c r="A253" s="2"/>
      <x:c r="B253" s="2"/>
      <x:c r="C253" s="2"/>
      <x:c r="D253" s="2"/>
      <x:c r="E253" s="2"/>
      <x:c r="F253" s="2"/>
      <x:c r="G253" s="2"/>
      <x:c r="H253" s="2"/>
      <x:c r="I253" s="2"/>
      <x:c r="J253" s="2"/>
      <x:c r="K253" s="2"/>
      <x:c r="L253" s="2"/>
      <x:c r="M253" s="2"/>
    </x:row>
    <x:row r="254">
      <x:c r="A254" s="2"/>
      <x:c r="B254" s="2"/>
      <x:c r="C254" s="2"/>
      <x:c r="D254" s="2"/>
      <x:c r="E254" s="2"/>
      <x:c r="F254" s="2"/>
      <x:c r="G254" s="2"/>
      <x:c r="H254" s="2"/>
      <x:c r="I254" s="2"/>
      <x:c r="J254" s="2"/>
      <x:c r="K254" s="2"/>
      <x:c r="L254" s="2"/>
      <x:c r="M254" s="2"/>
    </x:row>
    <x:row r="255">
      <x:c r="A255" s="2"/>
      <x:c r="B255" s="2"/>
      <x:c r="C255" s="2"/>
      <x:c r="D255" s="2"/>
      <x:c r="E255" s="2"/>
      <x:c r="F255" s="2"/>
      <x:c r="G255" s="2"/>
      <x:c r="H255" s="2"/>
      <x:c r="I255" s="2"/>
      <x:c r="J255" s="2"/>
      <x:c r="K255" s="2"/>
      <x:c r="L255" s="2"/>
      <x:c r="M255" s="2"/>
    </x:row>
    <x:row r="256">
      <x:c r="A256" s="2"/>
      <x:c r="B256" s="2"/>
      <x:c r="C256" s="2"/>
      <x:c r="D256" s="2"/>
      <x:c r="E256" s="2"/>
      <x:c r="F256" s="2"/>
      <x:c r="G256" s="2"/>
      <x:c r="H256" s="2"/>
      <x:c r="I256" s="2"/>
      <x:c r="J256" s="2"/>
      <x:c r="K256" s="2"/>
      <x:c r="L256" s="2"/>
      <x:c r="M256" s="2"/>
    </x:row>
    <x:row r="257">
      <x:c r="A257" s="2"/>
      <x:c r="B257" s="2"/>
      <x:c r="C257" s="2"/>
      <x:c r="D257" s="2"/>
      <x:c r="E257" s="2"/>
      <x:c r="F257" s="2"/>
      <x:c r="G257" s="2"/>
      <x:c r="H257" s="2"/>
      <x:c r="I257" s="2"/>
      <x:c r="J257" s="2"/>
      <x:c r="K257" s="2"/>
      <x:c r="L257" s="2"/>
      <x:c r="M257" s="2"/>
    </x:row>
    <x:row r="258">
      <x:c r="A258" s="2"/>
      <x:c r="B258" s="2"/>
      <x:c r="C258" s="2"/>
      <x:c r="D258" s="2"/>
      <x:c r="E258" s="2"/>
      <x:c r="F258" s="2"/>
      <x:c r="G258" s="2"/>
      <x:c r="H258" s="2"/>
      <x:c r="I258" s="2"/>
      <x:c r="J258" s="2"/>
      <x:c r="K258" s="2"/>
      <x:c r="L258" s="2"/>
      <x:c r="M258" s="2"/>
    </x:row>
    <x:row r="259">
      <x:c r="A259" s="2"/>
      <x:c r="B259" s="2"/>
      <x:c r="C259" s="2"/>
      <x:c r="D259" s="2"/>
      <x:c r="E259" s="2"/>
      <x:c r="F259" s="2"/>
      <x:c r="G259" s="2"/>
      <x:c r="H259" s="2"/>
      <x:c r="I259" s="2"/>
      <x:c r="J259" s="2"/>
      <x:c r="K259" s="2"/>
      <x:c r="L259" s="2"/>
      <x:c r="M259" s="2"/>
    </x:row>
    <x:row r="260">
      <x:c r="A260" s="2"/>
      <x:c r="B260" s="2"/>
      <x:c r="C260" s="2"/>
      <x:c r="D260" s="2"/>
      <x:c r="E260" s="2"/>
      <x:c r="F260" s="2"/>
      <x:c r="G260" s="2"/>
      <x:c r="H260" s="2"/>
      <x:c r="I260" s="2"/>
      <x:c r="J260" s="2"/>
      <x:c r="K260" s="2"/>
      <x:c r="L260" s="2"/>
      <x:c r="M260" s="2"/>
    </x:row>
    <x:row r="261">
      <x:c r="A261" s="2"/>
      <x:c r="B261" s="2"/>
      <x:c r="C261" s="2"/>
      <x:c r="D261" s="2"/>
      <x:c r="E261" s="2"/>
      <x:c r="F261" s="2"/>
      <x:c r="G261" s="2"/>
      <x:c r="H261" s="2"/>
      <x:c r="I261" s="2"/>
      <x:c r="J261" s="2"/>
      <x:c r="K261" s="2"/>
      <x:c r="L261" s="2"/>
      <x:c r="M261" s="2"/>
    </x:row>
    <x:row r="262">
      <x:c r="A262" s="2"/>
      <x:c r="B262" s="2"/>
      <x:c r="C262" s="2"/>
      <x:c r="D262" s="2"/>
      <x:c r="E262" s="2"/>
      <x:c r="F262" s="2"/>
      <x:c r="G262" s="2"/>
      <x:c r="H262" s="2"/>
      <x:c r="I262" s="2"/>
      <x:c r="J262" s="2"/>
      <x:c r="K262" s="2"/>
      <x:c r="L262" s="2"/>
      <x:c r="M262" s="2"/>
    </x:row>
    <x:row r="263">
      <x:c r="A263" s="2"/>
      <x:c r="B263" s="2"/>
      <x:c r="C263" s="2"/>
      <x:c r="D263" s="2"/>
      <x:c r="E263" s="2"/>
      <x:c r="F263" s="2"/>
      <x:c r="G263" s="2"/>
      <x:c r="H263" s="2"/>
      <x:c r="I263" s="2"/>
      <x:c r="J263" s="2"/>
      <x:c r="K263" s="2"/>
      <x:c r="L263" s="2"/>
      <x:c r="M263" s="2"/>
    </x:row>
    <x:row r="264">
      <x:c r="A264" s="2"/>
      <x:c r="B264" s="2"/>
      <x:c r="C264" s="2"/>
      <x:c r="D264" s="2"/>
      <x:c r="E264" s="2"/>
      <x:c r="F264" s="2"/>
      <x:c r="G264" s="2"/>
      <x:c r="H264" s="2"/>
      <x:c r="I264" s="2"/>
      <x:c r="J264" s="2"/>
      <x:c r="K264" s="2"/>
      <x:c r="L264" s="2"/>
      <x:c r="M264" s="2"/>
    </x:row>
    <x:row r="265">
      <x:c r="A265" s="2"/>
      <x:c r="B265" s="2"/>
      <x:c r="C265" s="2"/>
      <x:c r="D265" s="2"/>
      <x:c r="E265" s="2"/>
      <x:c r="F265" s="2"/>
      <x:c r="G265" s="2"/>
      <x:c r="H265" s="2"/>
      <x:c r="I265" s="2"/>
      <x:c r="J265" s="2"/>
      <x:c r="K265" s="2"/>
      <x:c r="L265" s="2"/>
      <x:c r="M265" s="2"/>
    </x:row>
    <x:row r="266">
      <x:c r="A266" s="2"/>
      <x:c r="B266" s="2"/>
      <x:c r="C266" s="2"/>
      <x:c r="D266" s="2"/>
      <x:c r="E266" s="2"/>
      <x:c r="F266" s="2"/>
      <x:c r="G266" s="2"/>
      <x:c r="H266" s="2"/>
      <x:c r="I266" s="2"/>
      <x:c r="J266" s="2"/>
      <x:c r="K266" s="2"/>
      <x:c r="L266" s="2"/>
      <x:c r="M266" s="2"/>
    </x:row>
    <x:row r="267">
      <x:c r="A267" s="2"/>
      <x:c r="B267" s="2"/>
      <x:c r="C267" s="2"/>
      <x:c r="D267" s="2"/>
      <x:c r="E267" s="2"/>
      <x:c r="F267" s="2"/>
      <x:c r="G267" s="2"/>
      <x:c r="H267" s="2"/>
      <x:c r="I267" s="2"/>
      <x:c r="J267" s="2"/>
      <x:c r="K267" s="2"/>
      <x:c r="L267" s="2"/>
      <x:c r="M267" s="2"/>
    </x:row>
    <x:row r="268">
      <x:c r="A268" s="2"/>
      <x:c r="B268" s="2"/>
      <x:c r="C268" s="2"/>
      <x:c r="D268" s="2"/>
      <x:c r="E268" s="2"/>
      <x:c r="F268" s="2"/>
      <x:c r="G268" s="2"/>
      <x:c r="H268" s="2"/>
      <x:c r="I268" s="2"/>
      <x:c r="J268" s="2"/>
      <x:c r="K268" s="2"/>
      <x:c r="L268" s="2"/>
      <x:c r="M268" s="2"/>
    </x:row>
    <x:row r="269">
      <x:c r="A269" s="2"/>
      <x:c r="B269" s="2"/>
      <x:c r="C269" s="2"/>
      <x:c r="D269" s="2"/>
      <x:c r="E269" s="2"/>
      <x:c r="F269" s="2"/>
      <x:c r="G269" s="2"/>
      <x:c r="H269" s="2"/>
      <x:c r="I269" s="2"/>
      <x:c r="J269" s="2"/>
      <x:c r="K269" s="2"/>
      <x:c r="L269" s="2"/>
      <x:c r="M269" s="2"/>
    </x:row>
    <x:row r="270">
      <x:c r="A270" s="2"/>
      <x:c r="B270" s="2"/>
      <x:c r="C270" s="2"/>
      <x:c r="D270" s="2"/>
      <x:c r="E270" s="2"/>
      <x:c r="F270" s="2"/>
      <x:c r="G270" s="2"/>
      <x:c r="H270" s="2"/>
      <x:c r="I270" s="2"/>
      <x:c r="J270" s="2"/>
      <x:c r="K270" s="2"/>
      <x:c r="L270" s="2"/>
      <x:c r="M270" s="2"/>
    </x:row>
    <x:row r="271">
      <x:c r="A271" s="2"/>
      <x:c r="B271" s="2"/>
      <x:c r="C271" s="2"/>
      <x:c r="D271" s="2"/>
      <x:c r="E271" s="2"/>
      <x:c r="F271" s="2"/>
      <x:c r="G271" s="2"/>
      <x:c r="H271" s="2"/>
      <x:c r="I271" s="2"/>
      <x:c r="J271" s="2"/>
      <x:c r="K271" s="2"/>
      <x:c r="L271" s="2"/>
      <x:c r="M271" s="2"/>
    </x:row>
    <x:row r="272">
      <x:c r="A272" s="2"/>
      <x:c r="B272" s="2"/>
      <x:c r="C272" s="2"/>
      <x:c r="D272" s="2"/>
      <x:c r="E272" s="2"/>
      <x:c r="F272" s="2"/>
      <x:c r="G272" s="2"/>
      <x:c r="H272" s="2"/>
      <x:c r="I272" s="2"/>
      <x:c r="J272" s="2"/>
      <x:c r="K272" s="2"/>
      <x:c r="L272" s="2"/>
      <x:c r="M272" s="2"/>
    </x:row>
    <x:row r="273">
      <x:c r="A273" s="2"/>
      <x:c r="B273" s="2"/>
      <x:c r="C273" s="2"/>
      <x:c r="D273" s="2"/>
      <x:c r="E273" s="2"/>
      <x:c r="F273" s="2"/>
      <x:c r="G273" s="2"/>
      <x:c r="H273" s="2"/>
      <x:c r="I273" s="2"/>
      <x:c r="J273" s="2"/>
      <x:c r="K273" s="2"/>
      <x:c r="L273" s="2"/>
      <x:c r="M273" s="2"/>
    </x:row>
    <x:row r="274">
      <x:c r="A274" s="2"/>
      <x:c r="B274" s="2"/>
      <x:c r="C274" s="2"/>
      <x:c r="D274" s="2"/>
      <x:c r="E274" s="2"/>
      <x:c r="F274" s="2"/>
      <x:c r="G274" s="2"/>
      <x:c r="H274" s="2"/>
      <x:c r="I274" s="2"/>
      <x:c r="J274" s="2"/>
      <x:c r="K274" s="2"/>
      <x:c r="L274" s="2"/>
      <x:c r="M274" s="2"/>
    </x:row>
    <x:row r="275">
      <x:c r="A275" s="2"/>
      <x:c r="B275" s="2"/>
      <x:c r="C275" s="2"/>
      <x:c r="D275" s="2"/>
      <x:c r="E275" s="2"/>
      <x:c r="F275" s="2"/>
      <x:c r="G275" s="2"/>
      <x:c r="H275" s="2"/>
      <x:c r="I275" s="2"/>
      <x:c r="J275" s="2"/>
      <x:c r="K275" s="2"/>
      <x:c r="L275" s="2"/>
      <x:c r="M275" s="2"/>
    </x:row>
    <x:row r="276">
      <x:c r="A276" s="2"/>
      <x:c r="B276" s="2"/>
      <x:c r="C276" s="2"/>
      <x:c r="D276" s="2"/>
      <x:c r="E276" s="2"/>
      <x:c r="F276" s="2"/>
      <x:c r="G276" s="2"/>
      <x:c r="H276" s="2"/>
      <x:c r="I276" s="2"/>
      <x:c r="J276" s="2"/>
      <x:c r="K276" s="2"/>
      <x:c r="L276" s="2"/>
      <x:c r="M276" s="2"/>
    </x:row>
    <x:row r="277">
      <x:c r="A277" s="2"/>
      <x:c r="B277" s="2"/>
      <x:c r="C277" s="2"/>
      <x:c r="D277" s="2"/>
      <x:c r="E277" s="2"/>
      <x:c r="F277" s="2"/>
      <x:c r="G277" s="2"/>
      <x:c r="H277" s="2"/>
      <x:c r="I277" s="2"/>
      <x:c r="J277" s="2"/>
      <x:c r="K277" s="2"/>
      <x:c r="L277" s="2"/>
      <x:c r="M277" s="2"/>
    </x:row>
    <x:row r="278">
      <x:c r="A278" s="2"/>
      <x:c r="B278" s="2"/>
      <x:c r="C278" s="2"/>
      <x:c r="D278" s="2"/>
      <x:c r="E278" s="2"/>
      <x:c r="F278" s="2"/>
      <x:c r="G278" s="2"/>
      <x:c r="H278" s="2"/>
      <x:c r="I278" s="2"/>
      <x:c r="J278" s="2"/>
      <x:c r="K278" s="2"/>
      <x:c r="L278" s="2"/>
      <x:c r="M278" s="2"/>
    </x:row>
    <x:row r="279">
      <x:c r="A279" s="2"/>
      <x:c r="B279" s="2"/>
      <x:c r="C279" s="2"/>
      <x:c r="D279" s="2"/>
      <x:c r="E279" s="2"/>
      <x:c r="F279" s="2"/>
      <x:c r="G279" s="2"/>
      <x:c r="H279" s="2"/>
      <x:c r="I279" s="2"/>
      <x:c r="J279" s="2"/>
      <x:c r="K279" s="2"/>
      <x:c r="L279" s="2"/>
      <x:c r="M279" s="2"/>
    </x:row>
    <x:row r="280">
      <x:c r="A280" s="2"/>
      <x:c r="B280" s="2"/>
      <x:c r="C280" s="2"/>
      <x:c r="D280" s="2"/>
      <x:c r="E280" s="2"/>
      <x:c r="F280" s="2"/>
      <x:c r="G280" s="2"/>
      <x:c r="H280" s="2"/>
      <x:c r="I280" s="2"/>
      <x:c r="J280" s="2"/>
      <x:c r="K280" s="2"/>
      <x:c r="L280" s="2"/>
      <x:c r="M280" s="2"/>
    </x:row>
    <x:row r="281">
      <x:c r="A281" s="2"/>
      <x:c r="B281" s="2"/>
      <x:c r="C281" s="2"/>
      <x:c r="D281" s="2"/>
      <x:c r="E281" s="2"/>
      <x:c r="F281" s="2"/>
      <x:c r="G281" s="2"/>
      <x:c r="H281" s="2"/>
      <x:c r="I281" s="2"/>
      <x:c r="J281" s="2"/>
      <x:c r="K281" s="2"/>
      <x:c r="L281" s="2"/>
      <x:c r="M281" s="2"/>
    </x:row>
    <x:row r="282">
      <x:c r="A282" s="2"/>
      <x:c r="B282" s="2"/>
      <x:c r="C282" s="2"/>
      <x:c r="D282" s="2"/>
      <x:c r="E282" s="2"/>
      <x:c r="F282" s="2"/>
      <x:c r="G282" s="2"/>
      <x:c r="H282" s="2"/>
      <x:c r="I282" s="2"/>
      <x:c r="J282" s="2"/>
      <x:c r="K282" s="2"/>
      <x:c r="L282" s="2"/>
      <x:c r="M282" s="2"/>
    </x:row>
    <x:row r="283">
      <x:c r="A283" s="2"/>
      <x:c r="B283" s="2"/>
      <x:c r="C283" s="2"/>
      <x:c r="D283" s="2"/>
      <x:c r="E283" s="2"/>
      <x:c r="F283" s="2"/>
      <x:c r="G283" s="2"/>
      <x:c r="H283" s="2"/>
      <x:c r="I283" s="2"/>
      <x:c r="J283" s="2"/>
      <x:c r="K283" s="2"/>
      <x:c r="L283" s="2"/>
      <x:c r="M283" s="2"/>
    </x:row>
    <x:row r="284">
      <x:c r="A284" s="2"/>
      <x:c r="B284" s="2"/>
      <x:c r="C284" s="2"/>
      <x:c r="D284" s="2"/>
      <x:c r="E284" s="2"/>
      <x:c r="F284" s="2"/>
      <x:c r="G284" s="2"/>
      <x:c r="H284" s="2"/>
      <x:c r="I284" s="2"/>
      <x:c r="J284" s="2"/>
      <x:c r="K284" s="2"/>
      <x:c r="L284" s="2"/>
      <x:c r="M284" s="2"/>
    </x:row>
    <x:row r="285">
      <x:c r="A285" s="2"/>
      <x:c r="B285" s="2"/>
      <x:c r="C285" s="2"/>
      <x:c r="D285" s="2"/>
      <x:c r="E285" s="2"/>
      <x:c r="F285" s="2"/>
      <x:c r="G285" s="2"/>
      <x:c r="H285" s="2"/>
      <x:c r="I285" s="2"/>
      <x:c r="J285" s="2"/>
      <x:c r="K285" s="2"/>
      <x:c r="L285" s="2"/>
      <x:c r="M285" s="2"/>
    </x:row>
    <x:row r="286">
      <x:c r="A286" s="2"/>
      <x:c r="B286" s="2"/>
      <x:c r="C286" s="2"/>
      <x:c r="D286" s="2"/>
      <x:c r="E286" s="2"/>
      <x:c r="F286" s="2"/>
      <x:c r="G286" s="2"/>
      <x:c r="H286" s="2"/>
      <x:c r="I286" s="2"/>
      <x:c r="J286" s="2"/>
      <x:c r="K286" s="2"/>
      <x:c r="L286" s="2"/>
      <x:c r="M286" s="2"/>
    </x:row>
    <x:row r="287">
      <x:c r="A287" s="2"/>
      <x:c r="B287" s="2"/>
      <x:c r="C287" s="2"/>
      <x:c r="D287" s="2"/>
      <x:c r="E287" s="2"/>
      <x:c r="F287" s="2"/>
      <x:c r="G287" s="2"/>
      <x:c r="H287" s="2"/>
      <x:c r="I287" s="2"/>
      <x:c r="J287" s="2"/>
      <x:c r="K287" s="2"/>
      <x:c r="L287" s="2"/>
      <x:c r="M287" s="2"/>
    </x:row>
    <x:row r="288">
      <x:c r="A288" s="2"/>
      <x:c r="B288" s="2"/>
      <x:c r="C288" s="2"/>
      <x:c r="D288" s="2"/>
      <x:c r="E288" s="2"/>
      <x:c r="F288" s="2"/>
      <x:c r="G288" s="2"/>
      <x:c r="H288" s="2"/>
      <x:c r="I288" s="2"/>
      <x:c r="J288" s="2"/>
      <x:c r="K288" s="2"/>
      <x:c r="L288" s="2"/>
      <x:c r="M288" s="2"/>
    </x:row>
    <x:row r="289">
      <x:c r="A289" s="2"/>
      <x:c r="B289" s="2"/>
      <x:c r="C289" s="2"/>
      <x:c r="D289" s="2"/>
      <x:c r="E289" s="2"/>
      <x:c r="F289" s="2"/>
      <x:c r="G289" s="2"/>
      <x:c r="H289" s="2"/>
      <x:c r="I289" s="2"/>
      <x:c r="J289" s="2"/>
      <x:c r="K289" s="2"/>
      <x:c r="L289" s="2"/>
      <x:c r="M289" s="2"/>
    </x:row>
    <x:row r="290">
      <x:c r="A290" s="2"/>
      <x:c r="B290" s="2"/>
      <x:c r="C290" s="2"/>
      <x:c r="D290" s="2"/>
      <x:c r="E290" s="2"/>
      <x:c r="F290" s="2"/>
      <x:c r="G290" s="2"/>
      <x:c r="H290" s="2"/>
      <x:c r="I290" s="2"/>
      <x:c r="J290" s="2"/>
      <x:c r="K290" s="2"/>
      <x:c r="L290" s="2"/>
      <x:c r="M290" s="2"/>
    </x:row>
    <x:row r="291">
      <x:c r="A291" s="2"/>
      <x:c r="B291" s="2"/>
      <x:c r="C291" s="2"/>
      <x:c r="D291" s="2"/>
      <x:c r="E291" s="2"/>
      <x:c r="F291" s="2"/>
      <x:c r="G291" s="2"/>
      <x:c r="H291" s="2"/>
      <x:c r="I291" s="2"/>
      <x:c r="J291" s="2"/>
      <x:c r="K291" s="2"/>
      <x:c r="L291" s="2"/>
      <x:c r="M291" s="2"/>
    </x:row>
    <x:row r="292">
      <x:c r="A292" s="2"/>
      <x:c r="B292" s="2"/>
      <x:c r="C292" s="2"/>
      <x:c r="D292" s="2"/>
      <x:c r="E292" s="2"/>
      <x:c r="F292" s="2"/>
      <x:c r="G292" s="2"/>
      <x:c r="H292" s="2"/>
      <x:c r="I292" s="2"/>
      <x:c r="J292" s="2"/>
      <x:c r="K292" s="2"/>
      <x:c r="L292" s="2"/>
      <x:c r="M292" s="2"/>
    </x:row>
    <x:row r="293">
      <x:c r="A293" s="2"/>
      <x:c r="B293" s="2"/>
      <x:c r="C293" s="2"/>
      <x:c r="D293" s="2"/>
      <x:c r="E293" s="2"/>
      <x:c r="F293" s="2"/>
      <x:c r="G293" s="2"/>
      <x:c r="H293" s="2"/>
      <x:c r="I293" s="2"/>
      <x:c r="J293" s="2"/>
      <x:c r="K293" s="2"/>
      <x:c r="L293" s="2"/>
      <x:c r="M293" s="2"/>
    </x:row>
    <x:row r="294">
      <x:c r="A294" s="2"/>
      <x:c r="B294" s="2"/>
      <x:c r="C294" s="2"/>
      <x:c r="D294" s="2"/>
      <x:c r="E294" s="2"/>
      <x:c r="F294" s="2"/>
      <x:c r="G294" s="2"/>
      <x:c r="H294" s="2"/>
      <x:c r="I294" s="2"/>
      <x:c r="J294" s="2"/>
      <x:c r="K294" s="2"/>
      <x:c r="L294" s="2"/>
      <x:c r="M294" s="2"/>
    </x:row>
    <x:row r="295">
      <x:c r="A295" s="2"/>
      <x:c r="B295" s="2"/>
      <x:c r="C295" s="2"/>
      <x:c r="D295" s="2"/>
      <x:c r="E295" s="2"/>
      <x:c r="F295" s="2"/>
      <x:c r="G295" s="2"/>
      <x:c r="H295" s="2"/>
      <x:c r="I295" s="2"/>
      <x:c r="J295" s="2"/>
      <x:c r="K295" s="2"/>
      <x:c r="L295" s="2"/>
      <x:c r="M295" s="2"/>
    </x:row>
    <x:row r="296">
      <x:c r="A296" s="2"/>
      <x:c r="B296" s="2"/>
      <x:c r="C296" s="2"/>
      <x:c r="D296" s="2"/>
      <x:c r="E296" s="2"/>
      <x:c r="F296" s="2"/>
      <x:c r="G296" s="2"/>
      <x:c r="H296" s="2"/>
      <x:c r="I296" s="2"/>
      <x:c r="J296" s="2"/>
      <x:c r="K296" s="2"/>
      <x:c r="L296" s="2"/>
      <x:c r="M296" s="2"/>
    </x:row>
    <x:row r="297">
      <x:c r="A297" s="2"/>
      <x:c r="B297" s="2"/>
      <x:c r="C297" s="2"/>
      <x:c r="D297" s="2"/>
      <x:c r="E297" s="2"/>
      <x:c r="F297" s="2"/>
      <x:c r="G297" s="2"/>
      <x:c r="H297" s="2"/>
      <x:c r="I297" s="2"/>
      <x:c r="J297" s="2"/>
      <x:c r="K297" s="2"/>
      <x:c r="L297" s="2"/>
      <x:c r="M297" s="2"/>
    </x:row>
    <x:row r="298">
      <x:c r="A298" s="2"/>
      <x:c r="B298" s="2"/>
      <x:c r="C298" s="2"/>
      <x:c r="D298" s="2"/>
      <x:c r="E298" s="2"/>
      <x:c r="F298" s="2"/>
      <x:c r="G298" s="2"/>
      <x:c r="H298" s="2"/>
      <x:c r="I298" s="2"/>
      <x:c r="J298" s="2"/>
      <x:c r="K298" s="2"/>
      <x:c r="L298" s="2"/>
      <x:c r="M298" s="2"/>
    </x:row>
    <x:row r="299">
      <x:c r="A299" s="2"/>
      <x:c r="B299" s="2"/>
      <x:c r="C299" s="2"/>
      <x:c r="D299" s="2"/>
      <x:c r="E299" s="2"/>
      <x:c r="F299" s="2"/>
      <x:c r="G299" s="2"/>
      <x:c r="H299" s="2"/>
      <x:c r="I299" s="2"/>
      <x:c r="J299" s="2"/>
      <x:c r="K299" s="2"/>
      <x:c r="L299" s="2"/>
      <x:c r="M299" s="2"/>
    </x:row>
    <x:row r="300">
      <x:c r="A300" s="2"/>
      <x:c r="B300" s="2"/>
      <x:c r="C300" s="2"/>
      <x:c r="D300" s="2"/>
      <x:c r="E300" s="2"/>
      <x:c r="F300" s="2"/>
      <x:c r="G300" s="2"/>
      <x:c r="H300" s="2"/>
      <x:c r="I300" s="2"/>
      <x:c r="J300" s="2"/>
      <x:c r="K300" s="2"/>
      <x:c r="L300" s="2"/>
      <x:c r="M300" s="2"/>
    </x:row>
  </x:sheetData>
  <x:mergeCells>
    <x:mergeCell ref="A1:M1"/>
    <x:mergeCell ref="A2:M2"/>
  </x:mergeCells>
  <x:pageMargins left="0.7" right="0.7" top="0.75" bottom="0.75" header="0.3" footer="0.3"/>
</x:worksheet>
</file>

<file path=xl/worksheets/sheet18.xml><?xml version="1.0" encoding="utf-8"?>
<x:worksheet xmlns:x="http://schemas.openxmlformats.org/spreadsheetml/2006/main">
  <x:sheetFormatPr defaultRowHeight="15"/>
  <x:cols>
    <x:col min="1" max="1" width="16.670000076293945" hidden="0" customWidth="1"/>
    <x:col min="2" max="2" width="71.11000061035156" hidden="0" customWidth="1"/>
    <x:col min="3" max="3" width="10" hidden="0" customWidth="1"/>
    <x:col min="4" max="4" width="15.5600004196167" hidden="0" customWidth="1"/>
    <x:col min="5" max="5" width="10" hidden="0" customWidth="1"/>
    <x:col min="6" max="6" width="15.5600004196167" hidden="0" customWidth="1"/>
    <x:col min="7" max="7" width="11.670000076293945"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Definitions, Formula Notes, And Caveats</x:v>
      </x:c>
      <x:c r="B1" s="4" t="str">
        <x:v>Definitions, Formula Notes, And Caveats</x:v>
      </x:c>
      <x:c r="C1" s="4" t="str">
        <x:v>Definitions, Formula Notes, And Caveats</x:v>
      </x:c>
      <x:c r="D1" s="4" t="str">
        <x:v>Definitions, Formula Notes, And Caveats</x:v>
      </x:c>
      <x:c r="E1" s="4" t="str">
        <x:v>Definitions, Formula Notes, And Caveats</x:v>
      </x:c>
    </x:row>
    <x:row r="2">
      <x:c r="A2" s="6" t="str">
        <x:v>Use these notes when sharing estimates with users or account teams.</x:v>
      </x:c>
      <x:c r="B2" s="6" t="str">
        <x:v>Use these notes when sharing estimates with users or account teams.</x:v>
      </x:c>
      <x:c r="C2" s="6" t="str">
        <x:v>Use these notes when sharing estimates with users or account teams.</x:v>
      </x:c>
      <x:c r="D2" s="6" t="str">
        <x:v>Use these notes when sharing estimates with users or account teams.</x:v>
      </x:c>
      <x:c r="E2" s="6" t="str">
        <x:v>Use these notes when sharing estimates with users or account teams.</x:v>
      </x:c>
    </x:row>
    <x:row r="3">
      <x:c r="A3" s="2"/>
      <x:c r="B3" s="2"/>
      <x:c r="C3" s="2"/>
      <x:c r="D3" s="2"/>
      <x:c r="E3" s="2"/>
    </x:row>
    <x:row r="4">
      <x:c r="A4" s="2"/>
      <x:c r="B4" s="2"/>
      <x:c r="C4" s="2"/>
      <x:c r="D4" s="2"/>
      <x:c r="E4" s="2"/>
    </x:row>
    <x:row r="5">
      <x:c r="A5" s="9" t="str">
        <x:v>Topic</x:v>
      </x:c>
      <x:c r="B5" s="9" t="str">
        <x:v>Guidance</x:v>
      </x:c>
      <x:c r="C5" s="2"/>
      <x:c r="D5" s="2"/>
      <x:c r="E5" s="2"/>
    </x:row>
    <x:row r="6">
      <x:c r="A6" s="2" t="str">
        <x:v>Metric name</x:v>
      </x:c>
      <x:c r="B6" s="2" t="str">
        <x:v>The named metric definition, such as system.network.io. A single metric name can produce many MTS when dimensions vary.</x:v>
      </x:c>
      <x:c r="C6" s="2"/>
      <x:c r="D6" s="2"/>
      <x:c r="E6" s="2"/>
    </x:row>
    <x:row r="7">
      <x:c r="A7" s="2" t="str">
        <x:v>Active MTS</x:v>
      </x:c>
      <x:c r="B7" s="2" t="str">
        <x:v>A Splunk metric time series created by metric name, metric type, and dimension set. This workbook treats every retained resource/datapoint attribute combination as an MTS-expanding dimension.</x:v>
      </x:c>
      <x:c r="C7" s="2"/>
      <x:c r="D7" s="2"/>
      <x:c r="E7" s="2"/>
    </x:row>
    <x:row r="8">
      <x:c r="A8" s="2" t="str">
        <x:v>Metric datapoints</x:v>
      </x:c>
      <x:c r="B8" s="2" t="str">
        <x:v>Each active MTS emits one datapoint each collection interval. DP/minute = active MTS x 60 / collection interval seconds.</x:v>
      </x:c>
      <x:c r="C8" s="2"/>
      <x:c r="D8" s="2"/>
      <x:c r="E8" s="2"/>
    </x:row>
    <x:row r="9">
      <x:c r="A9" s="2" t="str">
        <x:v>Why counts are assumptions</x:v>
      </x:c>
      <x:c r="B9" s="2" t="str">
        <x:v>Some Cisco command, API, and YANG outputs are data dependent. The calculator exposes counts so pilots can replace defaults with observed device, interface, object, endpoint, client, policy, path, route, or flow counts.</x:v>
      </x:c>
      <x:c r="C9" s="2"/>
      <x:c r="D9" s="2"/>
      <x:c r="E9" s="2"/>
    </x:row>
    <x:row r="10">
      <x:c r="A10" s="2" t="str">
        <x:v>Detailed counters</x:v>
      </x:c>
      <x:c r="B10" s="2" t="str">
        <x:v>cisco.interface.counter is intentionally modeled separately because each retained counter name multiplies interface cardinality.</x:v>
      </x:c>
      <x:c r="C10" s="2"/>
      <x:c r="D10" s="2"/>
      <x:c r="E10" s="2"/>
    </x:row>
    <x:row r="11">
      <x:c r="A11" s="2" t="str">
        <x:v>Structured QoS</x:v>
      </x:c>
      <x:c r="B11" s="2" t="str">
        <x:v>Queue and policy metrics can expand across queue, class, action, drop reason, source, and direction dimensions.</x:v>
      </x:c>
      <x:c r="C11" s="2"/>
      <x:c r="D11" s="2"/>
      <x:c r="E11" s="2"/>
    </x:row>
    <x:row r="12">
      <x:c r="A12" s="2" t="str">
        <x:v>Controller APIs</x:v>
      </x:c>
      <x:c r="B12" s="2" t="str">
        <x:v>Catalyst Center, Nexus Dashboard/NDFC/Insights/NDO/Data Broker, ACI/APIC, SD-WAN Manager, FMC, ISE, Intersight, and Meraki all depend on enabled endpoint families and API result size.</x:v>
      </x:c>
      <x:c r="C12" s="2"/>
      <x:c r="D12" s="2"/>
      <x:c r="E12" s="2"/>
    </x:row>
    <x:row r="13">
      <x:c r="A13" s="2" t="str">
        <x:v>Wireless/gNMI telemetry</x:v>
      </x:c>
      <x:c r="B13" s="2" t="str">
        <x:v>Catalyst 9800 and IOS XR generated metric names can multiply across YANG paths and path attributes. Use path groups and target filters to bound high-volume client, neighbor, route, and flow tables.</x:v>
      </x:c>
      <x:c r="C13" s="2"/>
      <x:c r="D13" s="2"/>
      <x:c r="E13" s="2"/>
    </x:row>
    <x:row r="14">
      <x:c r="A14" s="2" t="str">
        <x:v>Logs</x:v>
      </x:c>
      <x:c r="B14" s="2" t="str">
        <x:v>Operational evidence logs from Intersight, SD-WAN, Nexus Dashboard, ACI, FMC, ISE, and FMC eStreamer are not included in metric MTS/DP totals.</x:v>
      </x:c>
      <x:c r="C14" s="2"/>
      <x:c r="D14" s="2"/>
      <x:c r="E14" s="2"/>
    </x:row>
    <x:row r="15">
      <x:c r="A15" s="2" t="str">
        <x:v>Scenario tabs</x:v>
      </x:c>
      <x:c r="B15" s="2" t="str">
        <x:v>Scenario Summary compares 10, 100, and 1000 platform units for every first-class platform area. Detail tabs keep assumptions editable.</x:v>
      </x:c>
      <x:c r="C15" s="2"/>
      <x:c r="D15" s="2"/>
      <x:c r="E15" s="2"/>
    </x:row>
    <x:row r="16">
      <x:c r="A16" s="2" t="str">
        <x:v>Validation path</x:v>
      </x:c>
      <x:c r="B16" s="2" t="str">
        <x:v>After a pilot deployment, compare receiver output by metric name and dimension set with Splunk Subscription Overview and Usage Analytics, then tune yellow inputs.</x:v>
      </x:c>
      <x:c r="C16" s="2"/>
      <x:c r="D16" s="2"/>
      <x:c r="E16" s="2"/>
    </x:row>
    <x:row r="17">
      <x:c r="A17" s="2" t="str">
        <x:v>Primary source files</x:v>
      </x:c>
      <x:c r="B17" s="2" t="str">
        <x:v>receiver/ciscoosreceiver/README.md; receiver/ciscoosreceiver/docs/metrics.md; receiver/ciscoosreceiver/docs/metric-control.md; receiver/ciscoosreceiver/*_receiver.go; receiver/ciscoosreceiver/*_metrics.go; receiver/ciscoosreceiver/*_paths.go; receiver/ciscoosreceiver/internal/scraper/*/metadata.yaml</x:v>
      </x:c>
      <x:c r="C17" s="2"/>
      <x:c r="D17" s="2"/>
      <x:c r="E17" s="2"/>
    </x:row>
    <x:row r="18">
      <x:c r="A18" s="2"/>
      <x:c r="B18" s="2"/>
      <x:c r="C18" s="2"/>
      <x:c r="D18" s="2"/>
      <x:c r="E18" s="2"/>
    </x:row>
    <x:row r="19">
      <x:c r="A19" s="2"/>
      <x:c r="B19" s="2"/>
      <x:c r="C19" s="2"/>
      <x:c r="D19" s="2"/>
      <x:c r="E19" s="2"/>
    </x:row>
    <x:row r="20">
      <x:c r="A20" s="2"/>
      <x:c r="B20" s="2"/>
      <x:c r="C20" s="2"/>
      <x:c r="D20" s="2"/>
      <x:c r="E20" s="2"/>
    </x:row>
    <x:row r="21">
      <x:c r="A21" s="2"/>
      <x:c r="B21" s="2"/>
      <x:c r="C21" s="2"/>
      <x:c r="D21" s="2"/>
      <x:c r="E21" s="2"/>
    </x:row>
    <x:row r="22">
      <x:c r="A22" s="2"/>
      <x:c r="B22" s="2"/>
      <x:c r="C22" s="2"/>
      <x:c r="D22" s="2"/>
      <x:c r="E22" s="2"/>
    </x:row>
    <x:row r="23">
      <x:c r="A23" s="2"/>
      <x:c r="B23" s="2"/>
      <x:c r="C23" s="2"/>
      <x:c r="D23" s="2"/>
      <x:c r="E23" s="2"/>
    </x:row>
    <x:row r="24">
      <x:c r="A24" s="2"/>
      <x:c r="B24" s="2"/>
      <x:c r="C24" s="2"/>
      <x:c r="D24" s="2"/>
      <x:c r="E24" s="2"/>
    </x:row>
    <x:row r="25">
      <x:c r="A25" s="2"/>
      <x:c r="B25" s="2"/>
      <x:c r="C25" s="2"/>
      <x:c r="D25" s="2"/>
      <x:c r="E25" s="2"/>
    </x:row>
    <x:row r="26">
      <x:c r="A26" s="2"/>
      <x:c r="B26" s="2"/>
      <x:c r="C26" s="2"/>
      <x:c r="D26" s="2"/>
      <x:c r="E26" s="2"/>
    </x:row>
    <x:row r="27">
      <x:c r="A27" s="2"/>
      <x:c r="B27" s="2"/>
      <x:c r="C27" s="2"/>
      <x:c r="D27" s="2"/>
      <x:c r="E27" s="2"/>
    </x:row>
    <x:row r="28">
      <x:c r="A28" s="2"/>
      <x:c r="B28" s="2"/>
      <x:c r="C28" s="2"/>
      <x:c r="D28" s="2"/>
      <x:c r="E28" s="2"/>
    </x:row>
    <x:row r="29">
      <x:c r="A29" s="2"/>
      <x:c r="B29" s="2"/>
      <x:c r="C29" s="2"/>
      <x:c r="D29" s="2"/>
      <x:c r="E29" s="2"/>
    </x:row>
    <x:row r="30">
      <x:c r="A30" s="2"/>
      <x:c r="B30" s="2"/>
      <x:c r="C30" s="2"/>
      <x:c r="D30" s="2"/>
      <x:c r="E30" s="2"/>
    </x:row>
    <x:row r="31">
      <x:c r="A31" s="2"/>
      <x:c r="B31" s="2"/>
      <x:c r="C31" s="2"/>
      <x:c r="D31" s="2"/>
      <x:c r="E31" s="2"/>
    </x:row>
    <x:row r="32">
      <x:c r="A32" s="2"/>
      <x:c r="B32" s="2"/>
      <x:c r="C32" s="2"/>
      <x:c r="D32" s="2"/>
      <x:c r="E32" s="2"/>
    </x:row>
    <x:row r="33">
      <x:c r="A33" s="2"/>
      <x:c r="B33" s="2"/>
      <x:c r="C33" s="2"/>
      <x:c r="D33" s="2"/>
      <x:c r="E33" s="2"/>
    </x:row>
    <x:row r="34">
      <x:c r="A34" s="2"/>
      <x:c r="B34" s="2"/>
      <x:c r="C34" s="2"/>
      <x:c r="D34" s="2"/>
      <x:c r="E34" s="2"/>
    </x:row>
    <x:row r="35">
      <x:c r="A35" s="2"/>
      <x:c r="B35" s="2"/>
      <x:c r="C35" s="2"/>
      <x:c r="D35" s="2"/>
      <x:c r="E35" s="2"/>
    </x:row>
    <x:row r="36">
      <x:c r="A36" s="2"/>
      <x:c r="B36" s="2"/>
      <x:c r="C36" s="2"/>
      <x:c r="D36" s="2"/>
      <x:c r="E36" s="2"/>
    </x:row>
    <x:row r="37">
      <x:c r="A37" s="2"/>
      <x:c r="B37" s="2"/>
      <x:c r="C37" s="2"/>
      <x:c r="D37" s="2"/>
      <x:c r="E37" s="2"/>
    </x:row>
    <x:row r="38">
      <x:c r="A38" s="2"/>
      <x:c r="B38" s="2"/>
      <x:c r="C38" s="2"/>
      <x:c r="D38" s="2"/>
      <x:c r="E38" s="2"/>
    </x:row>
    <x:row r="39">
      <x:c r="A39" s="2"/>
      <x:c r="B39" s="2"/>
      <x:c r="C39" s="2"/>
      <x:c r="D39" s="2"/>
      <x:c r="E39" s="2"/>
    </x:row>
    <x:row r="40">
      <x:c r="A40" s="2"/>
      <x:c r="B40" s="2"/>
      <x:c r="C40" s="2"/>
      <x:c r="D40" s="2"/>
      <x:c r="E40" s="2"/>
    </x:row>
    <x:row r="41">
      <x:c r="A41" s="2"/>
      <x:c r="B41" s="2"/>
      <x:c r="C41" s="2"/>
      <x:c r="D41" s="2"/>
      <x:c r="E41" s="2"/>
    </x:row>
    <x:row r="42">
      <x:c r="A42" s="2"/>
      <x:c r="B42" s="2"/>
      <x:c r="C42" s="2"/>
      <x:c r="D42" s="2"/>
      <x:c r="E42" s="2"/>
    </x:row>
    <x:row r="43">
      <x:c r="A43" s="2"/>
      <x:c r="B43" s="2"/>
      <x:c r="C43" s="2"/>
      <x:c r="D43" s="2"/>
      <x:c r="E43" s="2"/>
    </x:row>
    <x:row r="44">
      <x:c r="A44" s="2"/>
      <x:c r="B44" s="2"/>
      <x:c r="C44" s="2"/>
      <x:c r="D44" s="2"/>
      <x:c r="E44" s="2"/>
    </x:row>
    <x:row r="45">
      <x:c r="A45" s="2"/>
      <x:c r="B45" s="2"/>
      <x:c r="C45" s="2"/>
      <x:c r="D45" s="2"/>
      <x:c r="E45" s="2"/>
    </x:row>
    <x:row r="46">
      <x:c r="A46" s="2"/>
      <x:c r="B46" s="2"/>
      <x:c r="C46" s="2"/>
      <x:c r="D46" s="2"/>
      <x:c r="E46" s="2"/>
    </x:row>
    <x:row r="47">
      <x:c r="A47" s="2"/>
      <x:c r="B47" s="2"/>
      <x:c r="C47" s="2"/>
      <x:c r="D47" s="2"/>
      <x:c r="E47" s="2"/>
    </x:row>
    <x:row r="48">
      <x:c r="A48" s="2"/>
      <x:c r="B48" s="2"/>
      <x:c r="C48" s="2"/>
      <x:c r="D48" s="2"/>
      <x:c r="E48" s="2"/>
    </x:row>
    <x:row r="49">
      <x:c r="A49" s="2"/>
      <x:c r="B49" s="2"/>
      <x:c r="C49" s="2"/>
      <x:c r="D49" s="2"/>
      <x:c r="E49" s="2"/>
    </x:row>
    <x:row r="50">
      <x:c r="A50" s="2"/>
      <x:c r="B50" s="2"/>
      <x:c r="C50" s="2"/>
      <x:c r="D50" s="2"/>
      <x:c r="E50" s="2"/>
    </x:row>
    <x:row r="51">
      <x:c r="A51" s="2"/>
      <x:c r="B51" s="2"/>
      <x:c r="C51" s="2"/>
      <x:c r="D51" s="2"/>
      <x:c r="E51" s="2"/>
    </x:row>
    <x:row r="52">
      <x:c r="A52" s="2"/>
      <x:c r="B52" s="2"/>
      <x:c r="C52" s="2"/>
      <x:c r="D52" s="2"/>
      <x:c r="E52" s="2"/>
    </x:row>
    <x:row r="53">
      <x:c r="A53" s="2"/>
      <x:c r="B53" s="2"/>
      <x:c r="C53" s="2"/>
      <x:c r="D53" s="2"/>
      <x:c r="E53" s="2"/>
    </x:row>
    <x:row r="54">
      <x:c r="A54" s="2"/>
      <x:c r="B54" s="2"/>
      <x:c r="C54" s="2"/>
      <x:c r="D54" s="2"/>
      <x:c r="E54" s="2"/>
    </x:row>
    <x:row r="55">
      <x:c r="A55" s="2"/>
      <x:c r="B55" s="2"/>
      <x:c r="C55" s="2"/>
      <x:c r="D55" s="2"/>
      <x:c r="E55" s="2"/>
    </x:row>
    <x:row r="56">
      <x:c r="A56" s="2"/>
      <x:c r="B56" s="2"/>
      <x:c r="C56" s="2"/>
      <x:c r="D56" s="2"/>
      <x:c r="E56" s="2"/>
    </x:row>
    <x:row r="57">
      <x:c r="A57" s="2"/>
      <x:c r="B57" s="2"/>
      <x:c r="C57" s="2"/>
      <x:c r="D57" s="2"/>
      <x:c r="E57" s="2"/>
    </x:row>
    <x:row r="58">
      <x:c r="A58" s="2"/>
      <x:c r="B58" s="2"/>
      <x:c r="C58" s="2"/>
      <x:c r="D58" s="2"/>
      <x:c r="E58" s="2"/>
    </x:row>
    <x:row r="59">
      <x:c r="A59" s="2"/>
      <x:c r="B59" s="2"/>
      <x:c r="C59" s="2"/>
      <x:c r="D59" s="2"/>
      <x:c r="E59" s="2"/>
    </x:row>
    <x:row r="60">
      <x:c r="A60" s="2"/>
      <x:c r="B60" s="2"/>
      <x:c r="C60" s="2"/>
      <x:c r="D60" s="2"/>
      <x:c r="E60" s="2"/>
    </x:row>
    <x:row r="61">
      <x:c r="A61" s="2"/>
      <x:c r="B61" s="2"/>
      <x:c r="C61" s="2"/>
      <x:c r="D61" s="2"/>
      <x:c r="E61" s="2"/>
    </x:row>
    <x:row r="62">
      <x:c r="A62" s="2"/>
      <x:c r="B62" s="2"/>
      <x:c r="C62" s="2"/>
      <x:c r="D62" s="2"/>
      <x:c r="E62" s="2"/>
    </x:row>
    <x:row r="63">
      <x:c r="A63" s="2"/>
      <x:c r="B63" s="2"/>
      <x:c r="C63" s="2"/>
      <x:c r="D63" s="2"/>
      <x:c r="E63" s="2"/>
    </x:row>
    <x:row r="64">
      <x:c r="A64" s="2"/>
      <x:c r="B64" s="2"/>
      <x:c r="C64" s="2"/>
      <x:c r="D64" s="2"/>
      <x:c r="E64" s="2"/>
    </x:row>
    <x:row r="65">
      <x:c r="A65" s="2"/>
      <x:c r="B65" s="2"/>
      <x:c r="C65" s="2"/>
      <x:c r="D65" s="2"/>
      <x:c r="E65" s="2"/>
    </x:row>
    <x:row r="66">
      <x:c r="A66" s="2"/>
      <x:c r="B66" s="2"/>
      <x:c r="C66" s="2"/>
      <x:c r="D66" s="2"/>
      <x:c r="E66" s="2"/>
    </x:row>
    <x:row r="67">
      <x:c r="A67" s="2"/>
      <x:c r="B67" s="2"/>
      <x:c r="C67" s="2"/>
      <x:c r="D67" s="2"/>
      <x:c r="E67" s="2"/>
    </x:row>
    <x:row r="68">
      <x:c r="A68" s="2"/>
      <x:c r="B68" s="2"/>
      <x:c r="C68" s="2"/>
      <x:c r="D68" s="2"/>
      <x:c r="E68" s="2"/>
    </x:row>
    <x:row r="69">
      <x:c r="A69" s="2"/>
      <x:c r="B69" s="2"/>
      <x:c r="C69" s="2"/>
      <x:c r="D69" s="2"/>
      <x:c r="E69" s="2"/>
    </x:row>
    <x:row r="70">
      <x:c r="A70" s="2"/>
      <x:c r="B70" s="2"/>
      <x:c r="C70" s="2"/>
      <x:c r="D70" s="2"/>
      <x:c r="E70" s="2"/>
    </x:row>
    <x:row r="71">
      <x:c r="A71" s="2"/>
      <x:c r="B71" s="2"/>
      <x:c r="C71" s="2"/>
      <x:c r="D71" s="2"/>
      <x:c r="E71" s="2"/>
    </x:row>
    <x:row r="72">
      <x:c r="A72" s="2"/>
      <x:c r="B72" s="2"/>
      <x:c r="C72" s="2"/>
      <x:c r="D72" s="2"/>
      <x:c r="E72" s="2"/>
    </x:row>
    <x:row r="73">
      <x:c r="A73" s="2"/>
      <x:c r="B73" s="2"/>
      <x:c r="C73" s="2"/>
      <x:c r="D73" s="2"/>
      <x:c r="E73" s="2"/>
    </x:row>
    <x:row r="74">
      <x:c r="A74" s="2"/>
      <x:c r="B74" s="2"/>
      <x:c r="C74" s="2"/>
      <x:c r="D74" s="2"/>
      <x:c r="E74" s="2"/>
    </x:row>
    <x:row r="75">
      <x:c r="A75" s="2"/>
      <x:c r="B75" s="2"/>
      <x:c r="C75" s="2"/>
      <x:c r="D75" s="2"/>
      <x:c r="E75" s="2"/>
    </x:row>
    <x:row r="76">
      <x:c r="A76" s="2"/>
      <x:c r="B76" s="2"/>
      <x:c r="C76" s="2"/>
      <x:c r="D76" s="2"/>
      <x:c r="E76" s="2"/>
    </x:row>
    <x:row r="77">
      <x:c r="A77" s="2"/>
      <x:c r="B77" s="2"/>
      <x:c r="C77" s="2"/>
      <x:c r="D77" s="2"/>
      <x:c r="E77" s="2"/>
    </x:row>
    <x:row r="78">
      <x:c r="A78" s="2"/>
      <x:c r="B78" s="2"/>
      <x:c r="C78" s="2"/>
      <x:c r="D78" s="2"/>
      <x:c r="E78" s="2"/>
    </x:row>
    <x:row r="79">
      <x:c r="A79" s="2"/>
      <x:c r="B79" s="2"/>
      <x:c r="C79" s="2"/>
      <x:c r="D79" s="2"/>
      <x:c r="E79" s="2"/>
    </x:row>
    <x:row r="80">
      <x:c r="A80" s="2"/>
      <x:c r="B80" s="2"/>
      <x:c r="C80" s="2"/>
      <x:c r="D80" s="2"/>
      <x:c r="E80" s="2"/>
    </x:row>
    <x:row r="81">
      <x:c r="A81" s="2"/>
      <x:c r="B81" s="2"/>
      <x:c r="C81" s="2"/>
      <x:c r="D81" s="2"/>
      <x:c r="E81" s="2"/>
    </x:row>
    <x:row r="82">
      <x:c r="A82" s="2"/>
      <x:c r="B82" s="2"/>
      <x:c r="C82" s="2"/>
      <x:c r="D82" s="2"/>
      <x:c r="E82" s="2"/>
    </x:row>
    <x:row r="83">
      <x:c r="A83" s="2"/>
      <x:c r="B83" s="2"/>
      <x:c r="C83" s="2"/>
      <x:c r="D83" s="2"/>
      <x:c r="E83" s="2"/>
    </x:row>
    <x:row r="84">
      <x:c r="A84" s="2"/>
      <x:c r="B84" s="2"/>
      <x:c r="C84" s="2"/>
      <x:c r="D84" s="2"/>
      <x:c r="E84" s="2"/>
    </x:row>
    <x:row r="85">
      <x:c r="A85" s="2"/>
      <x:c r="B85" s="2"/>
      <x:c r="C85" s="2"/>
      <x:c r="D85" s="2"/>
      <x:c r="E85" s="2"/>
    </x:row>
    <x:row r="86">
      <x:c r="A86" s="2"/>
      <x:c r="B86" s="2"/>
      <x:c r="C86" s="2"/>
      <x:c r="D86" s="2"/>
      <x:c r="E86" s="2"/>
    </x:row>
    <x:row r="87">
      <x:c r="A87" s="2"/>
      <x:c r="B87" s="2"/>
      <x:c r="C87" s="2"/>
      <x:c r="D87" s="2"/>
      <x:c r="E87" s="2"/>
    </x:row>
    <x:row r="88">
      <x:c r="A88" s="2"/>
      <x:c r="B88" s="2"/>
      <x:c r="C88" s="2"/>
      <x:c r="D88" s="2"/>
      <x:c r="E88" s="2"/>
    </x:row>
    <x:row r="89">
      <x:c r="A89" s="2"/>
      <x:c r="B89" s="2"/>
      <x:c r="C89" s="2"/>
      <x:c r="D89" s="2"/>
      <x:c r="E89" s="2"/>
    </x:row>
    <x:row r="90">
      <x:c r="A90" s="2"/>
      <x:c r="B90" s="2"/>
      <x:c r="C90" s="2"/>
      <x:c r="D90" s="2"/>
      <x:c r="E90" s="2"/>
    </x:row>
    <x:row r="91">
      <x:c r="A91" s="2"/>
      <x:c r="B91" s="2"/>
      <x:c r="C91" s="2"/>
      <x:c r="D91" s="2"/>
      <x:c r="E91" s="2"/>
    </x:row>
    <x:row r="92">
      <x:c r="A92" s="2"/>
      <x:c r="B92" s="2"/>
      <x:c r="C92" s="2"/>
      <x:c r="D92" s="2"/>
      <x:c r="E92" s="2"/>
    </x:row>
    <x:row r="93">
      <x:c r="A93" s="2"/>
      <x:c r="B93" s="2"/>
      <x:c r="C93" s="2"/>
      <x:c r="D93" s="2"/>
      <x:c r="E93" s="2"/>
    </x:row>
    <x:row r="94">
      <x:c r="A94" s="2"/>
      <x:c r="B94" s="2"/>
      <x:c r="C94" s="2"/>
      <x:c r="D94" s="2"/>
      <x:c r="E94" s="2"/>
    </x:row>
    <x:row r="95">
      <x:c r="A95" s="2"/>
      <x:c r="B95" s="2"/>
      <x:c r="C95" s="2"/>
      <x:c r="D95" s="2"/>
      <x:c r="E95" s="2"/>
    </x:row>
    <x:row r="96">
      <x:c r="A96" s="2"/>
      <x:c r="B96" s="2"/>
      <x:c r="C96" s="2"/>
      <x:c r="D96" s="2"/>
      <x:c r="E96" s="2"/>
    </x:row>
    <x:row r="97">
      <x:c r="A97" s="2"/>
      <x:c r="B97" s="2"/>
      <x:c r="C97" s="2"/>
      <x:c r="D97" s="2"/>
      <x:c r="E97" s="2"/>
    </x:row>
    <x:row r="98">
      <x:c r="A98" s="2"/>
      <x:c r="B98" s="2"/>
      <x:c r="C98" s="2"/>
      <x:c r="D98" s="2"/>
      <x:c r="E98" s="2"/>
    </x:row>
    <x:row r="99">
      <x:c r="A99" s="2"/>
      <x:c r="B99" s="2"/>
      <x:c r="C99" s="2"/>
      <x:c r="D99" s="2"/>
      <x:c r="E99" s="2"/>
    </x:row>
    <x:row r="100">
      <x:c r="A100" s="2"/>
      <x:c r="B100" s="2"/>
      <x:c r="C100" s="2"/>
      <x:c r="D100" s="2"/>
      <x:c r="E100" s="2"/>
    </x:row>
    <x:row r="101">
      <x:c r="A101" s="2"/>
      <x:c r="B101" s="2"/>
      <x:c r="C101" s="2"/>
      <x:c r="D101" s="2"/>
      <x:c r="E101" s="2"/>
    </x:row>
    <x:row r="102">
      <x:c r="A102" s="2"/>
      <x:c r="B102" s="2"/>
      <x:c r="C102" s="2"/>
      <x:c r="D102" s="2"/>
      <x:c r="E102" s="2"/>
    </x:row>
    <x:row r="103">
      <x:c r="A103" s="2"/>
      <x:c r="B103" s="2"/>
      <x:c r="C103" s="2"/>
      <x:c r="D103" s="2"/>
      <x:c r="E103" s="2"/>
    </x:row>
    <x:row r="104">
      <x:c r="A104" s="2"/>
      <x:c r="B104" s="2"/>
      <x:c r="C104" s="2"/>
      <x:c r="D104" s="2"/>
      <x:c r="E104" s="2"/>
    </x:row>
    <x:row r="105">
      <x:c r="A105" s="2"/>
      <x:c r="B105" s="2"/>
      <x:c r="C105" s="2"/>
      <x:c r="D105" s="2"/>
      <x:c r="E105" s="2"/>
    </x:row>
    <x:row r="106">
      <x:c r="A106" s="2"/>
      <x:c r="B106" s="2"/>
      <x:c r="C106" s="2"/>
      <x:c r="D106" s="2"/>
      <x:c r="E106" s="2"/>
    </x:row>
    <x:row r="107">
      <x:c r="A107" s="2"/>
      <x:c r="B107" s="2"/>
      <x:c r="C107" s="2"/>
      <x:c r="D107" s="2"/>
      <x:c r="E107" s="2"/>
    </x:row>
    <x:row r="108">
      <x:c r="A108" s="2"/>
      <x:c r="B108" s="2"/>
      <x:c r="C108" s="2"/>
      <x:c r="D108" s="2"/>
      <x:c r="E108" s="2"/>
    </x:row>
    <x:row r="109">
      <x:c r="A109" s="2"/>
      <x:c r="B109" s="2"/>
      <x:c r="C109" s="2"/>
      <x:c r="D109" s="2"/>
      <x:c r="E109" s="2"/>
    </x:row>
    <x:row r="110">
      <x:c r="A110" s="2"/>
      <x:c r="B110" s="2"/>
      <x:c r="C110" s="2"/>
      <x:c r="D110" s="2"/>
      <x:c r="E110" s="2"/>
    </x:row>
    <x:row r="111">
      <x:c r="A111" s="2"/>
      <x:c r="B111" s="2"/>
      <x:c r="C111" s="2"/>
      <x:c r="D111" s="2"/>
      <x:c r="E111" s="2"/>
    </x:row>
    <x:row r="112">
      <x:c r="A112" s="2"/>
      <x:c r="B112" s="2"/>
      <x:c r="C112" s="2"/>
      <x:c r="D112" s="2"/>
      <x:c r="E112" s="2"/>
    </x:row>
    <x:row r="113">
      <x:c r="A113" s="2"/>
      <x:c r="B113" s="2"/>
      <x:c r="C113" s="2"/>
      <x:c r="D113" s="2"/>
      <x:c r="E113" s="2"/>
    </x:row>
    <x:row r="114">
      <x:c r="A114" s="2"/>
      <x:c r="B114" s="2"/>
      <x:c r="C114" s="2"/>
      <x:c r="D114" s="2"/>
      <x:c r="E114" s="2"/>
    </x:row>
    <x:row r="115">
      <x:c r="A115" s="2"/>
      <x:c r="B115" s="2"/>
      <x:c r="C115" s="2"/>
      <x:c r="D115" s="2"/>
      <x:c r="E115" s="2"/>
    </x:row>
    <x:row r="116">
      <x:c r="A116" s="2"/>
      <x:c r="B116" s="2"/>
      <x:c r="C116" s="2"/>
      <x:c r="D116" s="2"/>
      <x:c r="E116" s="2"/>
    </x:row>
    <x:row r="117">
      <x:c r="A117" s="2"/>
      <x:c r="B117" s="2"/>
      <x:c r="C117" s="2"/>
      <x:c r="D117" s="2"/>
      <x:c r="E117" s="2"/>
    </x:row>
    <x:row r="118">
      <x:c r="A118" s="2"/>
      <x:c r="B118" s="2"/>
      <x:c r="C118" s="2"/>
      <x:c r="D118" s="2"/>
      <x:c r="E118" s="2"/>
    </x:row>
    <x:row r="119">
      <x:c r="A119" s="2"/>
      <x:c r="B119" s="2"/>
      <x:c r="C119" s="2"/>
      <x:c r="D119" s="2"/>
      <x:c r="E119" s="2"/>
    </x:row>
    <x:row r="120">
      <x:c r="A120" s="2"/>
      <x:c r="B120" s="2"/>
      <x:c r="C120" s="2"/>
      <x:c r="D120" s="2"/>
      <x:c r="E120" s="2"/>
    </x:row>
    <x:row r="121">
      <x:c r="A121" s="2"/>
      <x:c r="B121" s="2"/>
      <x:c r="C121" s="2"/>
      <x:c r="D121" s="2"/>
      <x:c r="E121" s="2"/>
    </x:row>
    <x:row r="122">
      <x:c r="A122" s="2"/>
      <x:c r="B122" s="2"/>
      <x:c r="C122" s="2"/>
      <x:c r="D122" s="2"/>
      <x:c r="E122" s="2"/>
    </x:row>
    <x:row r="123">
      <x:c r="A123" s="2"/>
      <x:c r="B123" s="2"/>
      <x:c r="C123" s="2"/>
      <x:c r="D123" s="2"/>
      <x:c r="E123" s="2"/>
    </x:row>
    <x:row r="124">
      <x:c r="A124" s="2"/>
      <x:c r="B124" s="2"/>
      <x:c r="C124" s="2"/>
      <x:c r="D124" s="2"/>
      <x:c r="E124" s="2"/>
    </x:row>
    <x:row r="125">
      <x:c r="A125" s="2"/>
      <x:c r="B125" s="2"/>
      <x:c r="C125" s="2"/>
      <x:c r="D125" s="2"/>
      <x:c r="E125" s="2"/>
    </x:row>
    <x:row r="126">
      <x:c r="A126" s="2"/>
      <x:c r="B126" s="2"/>
      <x:c r="C126" s="2"/>
      <x:c r="D126" s="2"/>
      <x:c r="E126" s="2"/>
    </x:row>
    <x:row r="127">
      <x:c r="A127" s="2"/>
      <x:c r="B127" s="2"/>
      <x:c r="C127" s="2"/>
      <x:c r="D127" s="2"/>
      <x:c r="E127" s="2"/>
    </x:row>
    <x:row r="128">
      <x:c r="A128" s="2"/>
      <x:c r="B128" s="2"/>
      <x:c r="C128" s="2"/>
      <x:c r="D128" s="2"/>
      <x:c r="E128" s="2"/>
    </x:row>
    <x:row r="129">
      <x:c r="A129" s="2"/>
      <x:c r="B129" s="2"/>
      <x:c r="C129" s="2"/>
      <x:c r="D129" s="2"/>
      <x:c r="E129" s="2"/>
    </x:row>
    <x:row r="130">
      <x:c r="A130" s="2"/>
      <x:c r="B130" s="2"/>
      <x:c r="C130" s="2"/>
      <x:c r="D130" s="2"/>
      <x:c r="E130" s="2"/>
    </x:row>
    <x:row r="131">
      <x:c r="A131" s="2"/>
      <x:c r="B131" s="2"/>
      <x:c r="C131" s="2"/>
      <x:c r="D131" s="2"/>
      <x:c r="E131" s="2"/>
    </x:row>
    <x:row r="132">
      <x:c r="A132" s="2"/>
      <x:c r="B132" s="2"/>
      <x:c r="C132" s="2"/>
      <x:c r="D132" s="2"/>
      <x:c r="E132" s="2"/>
    </x:row>
    <x:row r="133">
      <x:c r="A133" s="2"/>
      <x:c r="B133" s="2"/>
      <x:c r="C133" s="2"/>
      <x:c r="D133" s="2"/>
      <x:c r="E133" s="2"/>
    </x:row>
    <x:row r="134">
      <x:c r="A134" s="2"/>
      <x:c r="B134" s="2"/>
      <x:c r="C134" s="2"/>
      <x:c r="D134" s="2"/>
      <x:c r="E134" s="2"/>
    </x:row>
    <x:row r="135">
      <x:c r="A135" s="2"/>
      <x:c r="B135" s="2"/>
      <x:c r="C135" s="2"/>
      <x:c r="D135" s="2"/>
      <x:c r="E135" s="2"/>
    </x:row>
    <x:row r="136">
      <x:c r="A136" s="2"/>
      <x:c r="B136" s="2"/>
      <x:c r="C136" s="2"/>
      <x:c r="D136" s="2"/>
      <x:c r="E136" s="2"/>
    </x:row>
    <x:row r="137">
      <x:c r="A137" s="2"/>
      <x:c r="B137" s="2"/>
      <x:c r="C137" s="2"/>
      <x:c r="D137" s="2"/>
      <x:c r="E137" s="2"/>
    </x:row>
    <x:row r="138">
      <x:c r="A138" s="2"/>
      <x:c r="B138" s="2"/>
      <x:c r="C138" s="2"/>
      <x:c r="D138" s="2"/>
      <x:c r="E138" s="2"/>
    </x:row>
    <x:row r="139">
      <x:c r="A139" s="2"/>
      <x:c r="B139" s="2"/>
      <x:c r="C139" s="2"/>
      <x:c r="D139" s="2"/>
      <x:c r="E139" s="2"/>
    </x:row>
    <x:row r="140">
      <x:c r="A140" s="2"/>
      <x:c r="B140" s="2"/>
      <x:c r="C140" s="2"/>
      <x:c r="D140" s="2"/>
      <x:c r="E140" s="2"/>
    </x:row>
    <x:row r="141">
      <x:c r="A141" s="2"/>
      <x:c r="B141" s="2"/>
      <x:c r="C141" s="2"/>
      <x:c r="D141" s="2"/>
      <x:c r="E141" s="2"/>
    </x:row>
    <x:row r="142">
      <x:c r="A142" s="2"/>
      <x:c r="B142" s="2"/>
      <x:c r="C142" s="2"/>
      <x:c r="D142" s="2"/>
      <x:c r="E142" s="2"/>
    </x:row>
    <x:row r="143">
      <x:c r="A143" s="2"/>
      <x:c r="B143" s="2"/>
      <x:c r="C143" s="2"/>
      <x:c r="D143" s="2"/>
      <x:c r="E143" s="2"/>
    </x:row>
    <x:row r="144">
      <x:c r="A144" s="2"/>
      <x:c r="B144" s="2"/>
      <x:c r="C144" s="2"/>
      <x:c r="D144" s="2"/>
      <x:c r="E144" s="2"/>
    </x:row>
    <x:row r="145">
      <x:c r="A145" s="2"/>
      <x:c r="B145" s="2"/>
      <x:c r="C145" s="2"/>
      <x:c r="D145" s="2"/>
      <x:c r="E145" s="2"/>
    </x:row>
    <x:row r="146">
      <x:c r="A146" s="2"/>
      <x:c r="B146" s="2"/>
      <x:c r="C146" s="2"/>
      <x:c r="D146" s="2"/>
      <x:c r="E146" s="2"/>
    </x:row>
    <x:row r="147">
      <x:c r="A147" s="2"/>
      <x:c r="B147" s="2"/>
      <x:c r="C147" s="2"/>
      <x:c r="D147" s="2"/>
      <x:c r="E147" s="2"/>
    </x:row>
    <x:row r="148">
      <x:c r="A148" s="2"/>
      <x:c r="B148" s="2"/>
      <x:c r="C148" s="2"/>
      <x:c r="D148" s="2"/>
      <x:c r="E148" s="2"/>
    </x:row>
    <x:row r="149">
      <x:c r="A149" s="2"/>
      <x:c r="B149" s="2"/>
      <x:c r="C149" s="2"/>
      <x:c r="D149" s="2"/>
      <x:c r="E149" s="2"/>
    </x:row>
    <x:row r="150">
      <x:c r="A150" s="2"/>
      <x:c r="B150" s="2"/>
      <x:c r="C150" s="2"/>
      <x:c r="D150" s="2"/>
      <x:c r="E150" s="2"/>
    </x:row>
    <x:row r="151">
      <x:c r="A151" s="2"/>
      <x:c r="B151" s="2"/>
      <x:c r="C151" s="2"/>
      <x:c r="D151" s="2"/>
      <x:c r="E151" s="2"/>
    </x:row>
    <x:row r="152">
      <x:c r="A152" s="2"/>
      <x:c r="B152" s="2"/>
      <x:c r="C152" s="2"/>
      <x:c r="D152" s="2"/>
      <x:c r="E152" s="2"/>
    </x:row>
    <x:row r="153">
      <x:c r="A153" s="2"/>
      <x:c r="B153" s="2"/>
      <x:c r="C153" s="2"/>
      <x:c r="D153" s="2"/>
      <x:c r="E153" s="2"/>
    </x:row>
    <x:row r="154">
      <x:c r="A154" s="2"/>
      <x:c r="B154" s="2"/>
      <x:c r="C154" s="2"/>
      <x:c r="D154" s="2"/>
      <x:c r="E154" s="2"/>
    </x:row>
    <x:row r="155">
      <x:c r="A155" s="2"/>
      <x:c r="B155" s="2"/>
      <x:c r="C155" s="2"/>
      <x:c r="D155" s="2"/>
      <x:c r="E155" s="2"/>
    </x:row>
    <x:row r="156">
      <x:c r="A156" s="2"/>
      <x:c r="B156" s="2"/>
      <x:c r="C156" s="2"/>
      <x:c r="D156" s="2"/>
      <x:c r="E156" s="2"/>
    </x:row>
    <x:row r="157">
      <x:c r="A157" s="2"/>
      <x:c r="B157" s="2"/>
      <x:c r="C157" s="2"/>
      <x:c r="D157" s="2"/>
      <x:c r="E157" s="2"/>
    </x:row>
    <x:row r="158">
      <x:c r="A158" s="2"/>
      <x:c r="B158" s="2"/>
      <x:c r="C158" s="2"/>
      <x:c r="D158" s="2"/>
      <x:c r="E158" s="2"/>
    </x:row>
    <x:row r="159">
      <x:c r="A159" s="2"/>
      <x:c r="B159" s="2"/>
      <x:c r="C159" s="2"/>
      <x:c r="D159" s="2"/>
      <x:c r="E159" s="2"/>
    </x:row>
    <x:row r="160">
      <x:c r="A160" s="2"/>
      <x:c r="B160" s="2"/>
      <x:c r="C160" s="2"/>
      <x:c r="D160" s="2"/>
      <x:c r="E160" s="2"/>
    </x:row>
    <x:row r="161">
      <x:c r="A161" s="2"/>
      <x:c r="B161" s="2"/>
      <x:c r="C161" s="2"/>
      <x:c r="D161" s="2"/>
      <x:c r="E161" s="2"/>
    </x:row>
    <x:row r="162">
      <x:c r="A162" s="2"/>
      <x:c r="B162" s="2"/>
      <x:c r="C162" s="2"/>
      <x:c r="D162" s="2"/>
      <x:c r="E162" s="2"/>
    </x:row>
    <x:row r="163">
      <x:c r="A163" s="2"/>
      <x:c r="B163" s="2"/>
      <x:c r="C163" s="2"/>
      <x:c r="D163" s="2"/>
      <x:c r="E163" s="2"/>
    </x:row>
    <x:row r="164">
      <x:c r="A164" s="2"/>
      <x:c r="B164" s="2"/>
      <x:c r="C164" s="2"/>
      <x:c r="D164" s="2"/>
      <x:c r="E164" s="2"/>
    </x:row>
    <x:row r="165">
      <x:c r="A165" s="2"/>
      <x:c r="B165" s="2"/>
      <x:c r="C165" s="2"/>
      <x:c r="D165" s="2"/>
      <x:c r="E165" s="2"/>
    </x:row>
    <x:row r="166">
      <x:c r="A166" s="2"/>
      <x:c r="B166" s="2"/>
      <x:c r="C166" s="2"/>
      <x:c r="D166" s="2"/>
      <x:c r="E166" s="2"/>
    </x:row>
    <x:row r="167">
      <x:c r="A167" s="2"/>
      <x:c r="B167" s="2"/>
      <x:c r="C167" s="2"/>
      <x:c r="D167" s="2"/>
      <x:c r="E167" s="2"/>
    </x:row>
    <x:row r="168">
      <x:c r="A168" s="2"/>
      <x:c r="B168" s="2"/>
      <x:c r="C168" s="2"/>
      <x:c r="D168" s="2"/>
      <x:c r="E168" s="2"/>
    </x:row>
    <x:row r="169">
      <x:c r="A169" s="2"/>
      <x:c r="B169" s="2"/>
      <x:c r="C169" s="2"/>
      <x:c r="D169" s="2"/>
      <x:c r="E169" s="2"/>
    </x:row>
    <x:row r="170">
      <x:c r="A170" s="2"/>
      <x:c r="B170" s="2"/>
      <x:c r="C170" s="2"/>
      <x:c r="D170" s="2"/>
      <x:c r="E170" s="2"/>
    </x:row>
    <x:row r="171">
      <x:c r="A171" s="2"/>
      <x:c r="B171" s="2"/>
      <x:c r="C171" s="2"/>
      <x:c r="D171" s="2"/>
      <x:c r="E171" s="2"/>
    </x:row>
    <x:row r="172">
      <x:c r="A172" s="2"/>
      <x:c r="B172" s="2"/>
      <x:c r="C172" s="2"/>
      <x:c r="D172" s="2"/>
      <x:c r="E172" s="2"/>
    </x:row>
    <x:row r="173">
      <x:c r="A173" s="2"/>
      <x:c r="B173" s="2"/>
      <x:c r="C173" s="2"/>
      <x:c r="D173" s="2"/>
      <x:c r="E173" s="2"/>
    </x:row>
    <x:row r="174">
      <x:c r="A174" s="2"/>
      <x:c r="B174" s="2"/>
      <x:c r="C174" s="2"/>
      <x:c r="D174" s="2"/>
      <x:c r="E174" s="2"/>
    </x:row>
    <x:row r="175">
      <x:c r="A175" s="2"/>
      <x:c r="B175" s="2"/>
      <x:c r="C175" s="2"/>
      <x:c r="D175" s="2"/>
      <x:c r="E175" s="2"/>
    </x:row>
    <x:row r="176">
      <x:c r="A176" s="2"/>
      <x:c r="B176" s="2"/>
      <x:c r="C176" s="2"/>
      <x:c r="D176" s="2"/>
      <x:c r="E176" s="2"/>
    </x:row>
    <x:row r="177">
      <x:c r="A177" s="2"/>
      <x:c r="B177" s="2"/>
      <x:c r="C177" s="2"/>
      <x:c r="D177" s="2"/>
      <x:c r="E177" s="2"/>
    </x:row>
    <x:row r="178">
      <x:c r="A178" s="2"/>
      <x:c r="B178" s="2"/>
      <x:c r="C178" s="2"/>
      <x:c r="D178" s="2"/>
      <x:c r="E178" s="2"/>
    </x:row>
    <x:row r="179">
      <x:c r="A179" s="2"/>
      <x:c r="B179" s="2"/>
      <x:c r="C179" s="2"/>
      <x:c r="D179" s="2"/>
      <x:c r="E179" s="2"/>
    </x:row>
    <x:row r="180">
      <x:c r="A180" s="2"/>
      <x:c r="B180" s="2"/>
      <x:c r="C180" s="2"/>
      <x:c r="D180" s="2"/>
      <x:c r="E180" s="2"/>
    </x:row>
    <x:row r="181">
      <x:c r="A181" s="2"/>
      <x:c r="B181" s="2"/>
      <x:c r="C181" s="2"/>
      <x:c r="D181" s="2"/>
      <x:c r="E181" s="2"/>
    </x:row>
    <x:row r="182">
      <x:c r="A182" s="2"/>
      <x:c r="B182" s="2"/>
      <x:c r="C182" s="2"/>
      <x:c r="D182" s="2"/>
      <x:c r="E182" s="2"/>
    </x:row>
    <x:row r="183">
      <x:c r="A183" s="2"/>
      <x:c r="B183" s="2"/>
      <x:c r="C183" s="2"/>
      <x:c r="D183" s="2"/>
      <x:c r="E183" s="2"/>
    </x:row>
    <x:row r="184">
      <x:c r="A184" s="2"/>
      <x:c r="B184" s="2"/>
      <x:c r="C184" s="2"/>
      <x:c r="D184" s="2"/>
      <x:c r="E184" s="2"/>
    </x:row>
    <x:row r="185">
      <x:c r="A185" s="2"/>
      <x:c r="B185" s="2"/>
      <x:c r="C185" s="2"/>
      <x:c r="D185" s="2"/>
      <x:c r="E185" s="2"/>
    </x:row>
    <x:row r="186">
      <x:c r="A186" s="2"/>
      <x:c r="B186" s="2"/>
      <x:c r="C186" s="2"/>
      <x:c r="D186" s="2"/>
      <x:c r="E186" s="2"/>
    </x:row>
    <x:row r="187">
      <x:c r="A187" s="2"/>
      <x:c r="B187" s="2"/>
      <x:c r="C187" s="2"/>
      <x:c r="D187" s="2"/>
      <x:c r="E187" s="2"/>
    </x:row>
    <x:row r="188">
      <x:c r="A188" s="2"/>
      <x:c r="B188" s="2"/>
      <x:c r="C188" s="2"/>
      <x:c r="D188" s="2"/>
      <x:c r="E188" s="2"/>
    </x:row>
    <x:row r="189">
      <x:c r="A189" s="2"/>
      <x:c r="B189" s="2"/>
      <x:c r="C189" s="2"/>
      <x:c r="D189" s="2"/>
      <x:c r="E189" s="2"/>
    </x:row>
    <x:row r="190">
      <x:c r="A190" s="2"/>
      <x:c r="B190" s="2"/>
      <x:c r="C190" s="2"/>
      <x:c r="D190" s="2"/>
      <x:c r="E190" s="2"/>
    </x:row>
    <x:row r="191">
      <x:c r="A191" s="2"/>
      <x:c r="B191" s="2"/>
      <x:c r="C191" s="2"/>
      <x:c r="D191" s="2"/>
      <x:c r="E191" s="2"/>
    </x:row>
    <x:row r="192">
      <x:c r="A192" s="2"/>
      <x:c r="B192" s="2"/>
      <x:c r="C192" s="2"/>
      <x:c r="D192" s="2"/>
      <x:c r="E192" s="2"/>
    </x:row>
    <x:row r="193">
      <x:c r="A193" s="2"/>
      <x:c r="B193" s="2"/>
      <x:c r="C193" s="2"/>
      <x:c r="D193" s="2"/>
      <x:c r="E193" s="2"/>
    </x:row>
    <x:row r="194">
      <x:c r="A194" s="2"/>
      <x:c r="B194" s="2"/>
      <x:c r="C194" s="2"/>
      <x:c r="D194" s="2"/>
      <x:c r="E194" s="2"/>
    </x:row>
    <x:row r="195">
      <x:c r="A195" s="2"/>
      <x:c r="B195" s="2"/>
      <x:c r="C195" s="2"/>
      <x:c r="D195" s="2"/>
      <x:c r="E195" s="2"/>
    </x:row>
    <x:row r="196">
      <x:c r="A196" s="2"/>
      <x:c r="B196" s="2"/>
      <x:c r="C196" s="2"/>
      <x:c r="D196" s="2"/>
      <x:c r="E196" s="2"/>
    </x:row>
    <x:row r="197">
      <x:c r="A197" s="2"/>
      <x:c r="B197" s="2"/>
      <x:c r="C197" s="2"/>
      <x:c r="D197" s="2"/>
      <x:c r="E197" s="2"/>
    </x:row>
    <x:row r="198">
      <x:c r="A198" s="2"/>
      <x:c r="B198" s="2"/>
      <x:c r="C198" s="2"/>
      <x:c r="D198" s="2"/>
      <x:c r="E198" s="2"/>
    </x:row>
    <x:row r="199">
      <x:c r="A199" s="2"/>
      <x:c r="B199" s="2"/>
      <x:c r="C199" s="2"/>
      <x:c r="D199" s="2"/>
      <x:c r="E199" s="2"/>
    </x:row>
    <x:row r="200">
      <x:c r="A200" s="2"/>
      <x:c r="B200" s="2"/>
      <x:c r="C200" s="2"/>
      <x:c r="D200" s="2"/>
      <x:c r="E200" s="2"/>
    </x:row>
    <x:row r="201">
      <x:c r="A201" s="2"/>
      <x:c r="B201" s="2"/>
      <x:c r="C201" s="2"/>
      <x:c r="D201" s="2"/>
      <x:c r="E201" s="2"/>
    </x:row>
    <x:row r="202">
      <x:c r="A202" s="2"/>
      <x:c r="B202" s="2"/>
      <x:c r="C202" s="2"/>
      <x:c r="D202" s="2"/>
      <x:c r="E202" s="2"/>
    </x:row>
    <x:row r="203">
      <x:c r="A203" s="2"/>
      <x:c r="B203" s="2"/>
      <x:c r="C203" s="2"/>
      <x:c r="D203" s="2"/>
      <x:c r="E203" s="2"/>
    </x:row>
    <x:row r="204">
      <x:c r="A204" s="2"/>
      <x:c r="B204" s="2"/>
      <x:c r="C204" s="2"/>
      <x:c r="D204" s="2"/>
      <x:c r="E204" s="2"/>
    </x:row>
    <x:row r="205">
      <x:c r="A205" s="2"/>
      <x:c r="B205" s="2"/>
      <x:c r="C205" s="2"/>
      <x:c r="D205" s="2"/>
      <x:c r="E205" s="2"/>
    </x:row>
    <x:row r="206">
      <x:c r="A206" s="2"/>
      <x:c r="B206" s="2"/>
      <x:c r="C206" s="2"/>
      <x:c r="D206" s="2"/>
      <x:c r="E206" s="2"/>
    </x:row>
    <x:row r="207">
      <x:c r="A207" s="2"/>
      <x:c r="B207" s="2"/>
      <x:c r="C207" s="2"/>
      <x:c r="D207" s="2"/>
      <x:c r="E207" s="2"/>
    </x:row>
    <x:row r="208">
      <x:c r="A208" s="2"/>
      <x:c r="B208" s="2"/>
      <x:c r="C208" s="2"/>
      <x:c r="D208" s="2"/>
      <x:c r="E208" s="2"/>
    </x:row>
    <x:row r="209">
      <x:c r="A209" s="2"/>
      <x:c r="B209" s="2"/>
      <x:c r="C209" s="2"/>
      <x:c r="D209" s="2"/>
      <x:c r="E209" s="2"/>
    </x:row>
    <x:row r="210">
      <x:c r="A210" s="2"/>
      <x:c r="B210" s="2"/>
      <x:c r="C210" s="2"/>
      <x:c r="D210" s="2"/>
      <x:c r="E210" s="2"/>
    </x:row>
    <x:row r="211">
      <x:c r="A211" s="2"/>
      <x:c r="B211" s="2"/>
      <x:c r="C211" s="2"/>
      <x:c r="D211" s="2"/>
      <x:c r="E211" s="2"/>
    </x:row>
    <x:row r="212">
      <x:c r="A212" s="2"/>
      <x:c r="B212" s="2"/>
      <x:c r="C212" s="2"/>
      <x:c r="D212" s="2"/>
      <x:c r="E212" s="2"/>
    </x:row>
    <x:row r="213">
      <x:c r="A213" s="2"/>
      <x:c r="B213" s="2"/>
      <x:c r="C213" s="2"/>
      <x:c r="D213" s="2"/>
      <x:c r="E213" s="2"/>
    </x:row>
    <x:row r="214">
      <x:c r="A214" s="2"/>
      <x:c r="B214" s="2"/>
      <x:c r="C214" s="2"/>
      <x:c r="D214" s="2"/>
      <x:c r="E214" s="2"/>
    </x:row>
    <x:row r="215">
      <x:c r="A215" s="2"/>
      <x:c r="B215" s="2"/>
      <x:c r="C215" s="2"/>
      <x:c r="D215" s="2"/>
      <x:c r="E215" s="2"/>
    </x:row>
    <x:row r="216">
      <x:c r="A216" s="2"/>
      <x:c r="B216" s="2"/>
      <x:c r="C216" s="2"/>
      <x:c r="D216" s="2"/>
      <x:c r="E216" s="2"/>
    </x:row>
    <x:row r="217">
      <x:c r="A217" s="2"/>
      <x:c r="B217" s="2"/>
      <x:c r="C217" s="2"/>
      <x:c r="D217" s="2"/>
      <x:c r="E217" s="2"/>
    </x:row>
    <x:row r="218">
      <x:c r="A218" s="2"/>
      <x:c r="B218" s="2"/>
      <x:c r="C218" s="2"/>
      <x:c r="D218" s="2"/>
      <x:c r="E218" s="2"/>
    </x:row>
    <x:row r="219">
      <x:c r="A219" s="2"/>
      <x:c r="B219" s="2"/>
      <x:c r="C219" s="2"/>
      <x:c r="D219" s="2"/>
      <x:c r="E219" s="2"/>
    </x:row>
    <x:row r="220">
      <x:c r="A220" s="2"/>
      <x:c r="B220" s="2"/>
      <x:c r="C220" s="2"/>
      <x:c r="D220" s="2"/>
      <x:c r="E220" s="2"/>
    </x:row>
    <x:row r="221">
      <x:c r="A221" s="2"/>
      <x:c r="B221" s="2"/>
      <x:c r="C221" s="2"/>
      <x:c r="D221" s="2"/>
      <x:c r="E221" s="2"/>
    </x:row>
    <x:row r="222">
      <x:c r="A222" s="2"/>
      <x:c r="B222" s="2"/>
      <x:c r="C222" s="2"/>
      <x:c r="D222" s="2"/>
      <x:c r="E222" s="2"/>
    </x:row>
    <x:row r="223">
      <x:c r="A223" s="2"/>
      <x:c r="B223" s="2"/>
      <x:c r="C223" s="2"/>
      <x:c r="D223" s="2"/>
      <x:c r="E223" s="2"/>
    </x:row>
    <x:row r="224">
      <x:c r="A224" s="2"/>
      <x:c r="B224" s="2"/>
      <x:c r="C224" s="2"/>
      <x:c r="D224" s="2"/>
      <x:c r="E224" s="2"/>
    </x:row>
    <x:row r="225">
      <x:c r="A225" s="2"/>
      <x:c r="B225" s="2"/>
      <x:c r="C225" s="2"/>
      <x:c r="D225" s="2"/>
      <x:c r="E225" s="2"/>
    </x:row>
    <x:row r="226">
      <x:c r="A226" s="2"/>
      <x:c r="B226" s="2"/>
      <x:c r="C226" s="2"/>
      <x:c r="D226" s="2"/>
      <x:c r="E226" s="2"/>
    </x:row>
    <x:row r="227">
      <x:c r="A227" s="2"/>
      <x:c r="B227" s="2"/>
      <x:c r="C227" s="2"/>
      <x:c r="D227" s="2"/>
      <x:c r="E227" s="2"/>
    </x:row>
    <x:row r="228">
      <x:c r="A228" s="2"/>
      <x:c r="B228" s="2"/>
      <x:c r="C228" s="2"/>
      <x:c r="D228" s="2"/>
      <x:c r="E228" s="2"/>
    </x:row>
    <x:row r="229">
      <x:c r="A229" s="2"/>
      <x:c r="B229" s="2"/>
      <x:c r="C229" s="2"/>
      <x:c r="D229" s="2"/>
      <x:c r="E229" s="2"/>
    </x:row>
    <x:row r="230">
      <x:c r="A230" s="2"/>
      <x:c r="B230" s="2"/>
      <x:c r="C230" s="2"/>
      <x:c r="D230" s="2"/>
      <x:c r="E230" s="2"/>
    </x:row>
    <x:row r="231">
      <x:c r="A231" s="2"/>
      <x:c r="B231" s="2"/>
      <x:c r="C231" s="2"/>
      <x:c r="D231" s="2"/>
      <x:c r="E231" s="2"/>
    </x:row>
    <x:row r="232">
      <x:c r="A232" s="2"/>
      <x:c r="B232" s="2"/>
      <x:c r="C232" s="2"/>
      <x:c r="D232" s="2"/>
      <x:c r="E232" s="2"/>
    </x:row>
    <x:row r="233">
      <x:c r="A233" s="2"/>
      <x:c r="B233" s="2"/>
      <x:c r="C233" s="2"/>
      <x:c r="D233" s="2"/>
      <x:c r="E233" s="2"/>
    </x:row>
    <x:row r="234">
      <x:c r="A234" s="2"/>
      <x:c r="B234" s="2"/>
      <x:c r="C234" s="2"/>
      <x:c r="D234" s="2"/>
      <x:c r="E234" s="2"/>
    </x:row>
    <x:row r="235">
      <x:c r="A235" s="2"/>
      <x:c r="B235" s="2"/>
      <x:c r="C235" s="2"/>
      <x:c r="D235" s="2"/>
      <x:c r="E235" s="2"/>
    </x:row>
    <x:row r="236">
      <x:c r="A236" s="2"/>
      <x:c r="B236" s="2"/>
      <x:c r="C236" s="2"/>
      <x:c r="D236" s="2"/>
      <x:c r="E236" s="2"/>
    </x:row>
    <x:row r="237">
      <x:c r="A237" s="2"/>
      <x:c r="B237" s="2"/>
      <x:c r="C237" s="2"/>
      <x:c r="D237" s="2"/>
      <x:c r="E237" s="2"/>
    </x:row>
    <x:row r="238">
      <x:c r="A238" s="2"/>
      <x:c r="B238" s="2"/>
      <x:c r="C238" s="2"/>
      <x:c r="D238" s="2"/>
      <x:c r="E238" s="2"/>
    </x:row>
    <x:row r="239">
      <x:c r="A239" s="2"/>
      <x:c r="B239" s="2"/>
      <x:c r="C239" s="2"/>
      <x:c r="D239" s="2"/>
      <x:c r="E239" s="2"/>
    </x:row>
    <x:row r="240">
      <x:c r="A240" s="2"/>
      <x:c r="B240" s="2"/>
      <x:c r="C240" s="2"/>
      <x:c r="D240" s="2"/>
      <x:c r="E240" s="2"/>
    </x:row>
    <x:row r="241">
      <x:c r="A241" s="2"/>
      <x:c r="B241" s="2"/>
      <x:c r="C241" s="2"/>
      <x:c r="D241" s="2"/>
      <x:c r="E241" s="2"/>
    </x:row>
    <x:row r="242">
      <x:c r="A242" s="2"/>
      <x:c r="B242" s="2"/>
      <x:c r="C242" s="2"/>
      <x:c r="D242" s="2"/>
      <x:c r="E242" s="2"/>
    </x:row>
    <x:row r="243">
      <x:c r="A243" s="2"/>
      <x:c r="B243" s="2"/>
      <x:c r="C243" s="2"/>
      <x:c r="D243" s="2"/>
      <x:c r="E243" s="2"/>
    </x:row>
    <x:row r="244">
      <x:c r="A244" s="2"/>
      <x:c r="B244" s="2"/>
      <x:c r="C244" s="2"/>
      <x:c r="D244" s="2"/>
      <x:c r="E244" s="2"/>
    </x:row>
    <x:row r="245">
      <x:c r="A245" s="2"/>
      <x:c r="B245" s="2"/>
      <x:c r="C245" s="2"/>
      <x:c r="D245" s="2"/>
      <x:c r="E245" s="2"/>
    </x:row>
    <x:row r="246">
      <x:c r="A246" s="2"/>
      <x:c r="B246" s="2"/>
      <x:c r="C246" s="2"/>
      <x:c r="D246" s="2"/>
      <x:c r="E246" s="2"/>
    </x:row>
    <x:row r="247">
      <x:c r="A247" s="2"/>
      <x:c r="B247" s="2"/>
      <x:c r="C247" s="2"/>
      <x:c r="D247" s="2"/>
      <x:c r="E247" s="2"/>
    </x:row>
    <x:row r="248">
      <x:c r="A248" s="2"/>
      <x:c r="B248" s="2"/>
      <x:c r="C248" s="2"/>
      <x:c r="D248" s="2"/>
      <x:c r="E248" s="2"/>
    </x:row>
    <x:row r="249">
      <x:c r="A249" s="2"/>
      <x:c r="B249" s="2"/>
      <x:c r="C249" s="2"/>
      <x:c r="D249" s="2"/>
      <x:c r="E249" s="2"/>
    </x:row>
    <x:row r="250">
      <x:c r="A250" s="2"/>
      <x:c r="B250" s="2"/>
      <x:c r="C250" s="2"/>
      <x:c r="D250" s="2"/>
      <x:c r="E250" s="2"/>
    </x:row>
    <x:row r="251">
      <x:c r="A251" s="2"/>
      <x:c r="B251" s="2"/>
      <x:c r="C251" s="2"/>
      <x:c r="D251" s="2"/>
      <x:c r="E251" s="2"/>
    </x:row>
    <x:row r="252">
      <x:c r="A252" s="2"/>
      <x:c r="B252" s="2"/>
      <x:c r="C252" s="2"/>
      <x:c r="D252" s="2"/>
      <x:c r="E252" s="2"/>
    </x:row>
    <x:row r="253">
      <x:c r="A253" s="2"/>
      <x:c r="B253" s="2"/>
      <x:c r="C253" s="2"/>
      <x:c r="D253" s="2"/>
      <x:c r="E253" s="2"/>
    </x:row>
    <x:row r="254">
      <x:c r="A254" s="2"/>
      <x:c r="B254" s="2"/>
      <x:c r="C254" s="2"/>
      <x:c r="D254" s="2"/>
      <x:c r="E254" s="2"/>
    </x:row>
    <x:row r="255">
      <x:c r="A255" s="2"/>
      <x:c r="B255" s="2"/>
      <x:c r="C255" s="2"/>
      <x:c r="D255" s="2"/>
      <x:c r="E255" s="2"/>
    </x:row>
    <x:row r="256">
      <x:c r="A256" s="2"/>
      <x:c r="B256" s="2"/>
      <x:c r="C256" s="2"/>
      <x:c r="D256" s="2"/>
      <x:c r="E256" s="2"/>
    </x:row>
    <x:row r="257">
      <x:c r="A257" s="2"/>
      <x:c r="B257" s="2"/>
      <x:c r="C257" s="2"/>
      <x:c r="D257" s="2"/>
      <x:c r="E257" s="2"/>
    </x:row>
    <x:row r="258">
      <x:c r="A258" s="2"/>
      <x:c r="B258" s="2"/>
      <x:c r="C258" s="2"/>
      <x:c r="D258" s="2"/>
      <x:c r="E258" s="2"/>
    </x:row>
    <x:row r="259">
      <x:c r="A259" s="2"/>
      <x:c r="B259" s="2"/>
      <x:c r="C259" s="2"/>
      <x:c r="D259" s="2"/>
      <x:c r="E259" s="2"/>
    </x:row>
    <x:row r="260">
      <x:c r="A260" s="2"/>
      <x:c r="B260" s="2"/>
      <x:c r="C260" s="2"/>
      <x:c r="D260" s="2"/>
      <x:c r="E260" s="2"/>
    </x:row>
    <x:row r="261">
      <x:c r="A261" s="2"/>
      <x:c r="B261" s="2"/>
      <x:c r="C261" s="2"/>
      <x:c r="D261" s="2"/>
      <x:c r="E261" s="2"/>
    </x:row>
    <x:row r="262">
      <x:c r="A262" s="2"/>
      <x:c r="B262" s="2"/>
      <x:c r="C262" s="2"/>
      <x:c r="D262" s="2"/>
      <x:c r="E262" s="2"/>
    </x:row>
    <x:row r="263">
      <x:c r="A263" s="2"/>
      <x:c r="B263" s="2"/>
      <x:c r="C263" s="2"/>
      <x:c r="D263" s="2"/>
      <x:c r="E263" s="2"/>
    </x:row>
    <x:row r="264">
      <x:c r="A264" s="2"/>
      <x:c r="B264" s="2"/>
      <x:c r="C264" s="2"/>
      <x:c r="D264" s="2"/>
      <x:c r="E264" s="2"/>
    </x:row>
    <x:row r="265">
      <x:c r="A265" s="2"/>
      <x:c r="B265" s="2"/>
      <x:c r="C265" s="2"/>
      <x:c r="D265" s="2"/>
      <x:c r="E265" s="2"/>
    </x:row>
    <x:row r="266">
      <x:c r="A266" s="2"/>
      <x:c r="B266" s="2"/>
      <x:c r="C266" s="2"/>
      <x:c r="D266" s="2"/>
      <x:c r="E266" s="2"/>
    </x:row>
    <x:row r="267">
      <x:c r="A267" s="2"/>
      <x:c r="B267" s="2"/>
      <x:c r="C267" s="2"/>
      <x:c r="D267" s="2"/>
      <x:c r="E267" s="2"/>
    </x:row>
    <x:row r="268">
      <x:c r="A268" s="2"/>
      <x:c r="B268" s="2"/>
      <x:c r="C268" s="2"/>
      <x:c r="D268" s="2"/>
      <x:c r="E268" s="2"/>
    </x:row>
    <x:row r="269">
      <x:c r="A269" s="2"/>
      <x:c r="B269" s="2"/>
      <x:c r="C269" s="2"/>
      <x:c r="D269" s="2"/>
      <x:c r="E269" s="2"/>
    </x:row>
    <x:row r="270">
      <x:c r="A270" s="2"/>
      <x:c r="B270" s="2"/>
      <x:c r="C270" s="2"/>
      <x:c r="D270" s="2"/>
      <x:c r="E270" s="2"/>
    </x:row>
    <x:row r="271">
      <x:c r="A271" s="2"/>
      <x:c r="B271" s="2"/>
      <x:c r="C271" s="2"/>
      <x:c r="D271" s="2"/>
      <x:c r="E271" s="2"/>
    </x:row>
    <x:row r="272">
      <x:c r="A272" s="2"/>
      <x:c r="B272" s="2"/>
      <x:c r="C272" s="2"/>
      <x:c r="D272" s="2"/>
      <x:c r="E272" s="2"/>
    </x:row>
    <x:row r="273">
      <x:c r="A273" s="2"/>
      <x:c r="B273" s="2"/>
      <x:c r="C273" s="2"/>
      <x:c r="D273" s="2"/>
      <x:c r="E273" s="2"/>
    </x:row>
    <x:row r="274">
      <x:c r="A274" s="2"/>
      <x:c r="B274" s="2"/>
      <x:c r="C274" s="2"/>
      <x:c r="D274" s="2"/>
      <x:c r="E274" s="2"/>
    </x:row>
    <x:row r="275">
      <x:c r="A275" s="2"/>
      <x:c r="B275" s="2"/>
      <x:c r="C275" s="2"/>
      <x:c r="D275" s="2"/>
      <x:c r="E275" s="2"/>
    </x:row>
    <x:row r="276">
      <x:c r="A276" s="2"/>
      <x:c r="B276" s="2"/>
      <x:c r="C276" s="2"/>
      <x:c r="D276" s="2"/>
      <x:c r="E276" s="2"/>
    </x:row>
    <x:row r="277">
      <x:c r="A277" s="2"/>
      <x:c r="B277" s="2"/>
      <x:c r="C277" s="2"/>
      <x:c r="D277" s="2"/>
      <x:c r="E277" s="2"/>
    </x:row>
    <x:row r="278">
      <x:c r="A278" s="2"/>
      <x:c r="B278" s="2"/>
      <x:c r="C278" s="2"/>
      <x:c r="D278" s="2"/>
      <x:c r="E278" s="2"/>
    </x:row>
    <x:row r="279">
      <x:c r="A279" s="2"/>
      <x:c r="B279" s="2"/>
      <x:c r="C279" s="2"/>
      <x:c r="D279" s="2"/>
      <x:c r="E279" s="2"/>
    </x:row>
    <x:row r="280">
      <x:c r="A280" s="2"/>
      <x:c r="B280" s="2"/>
      <x:c r="C280" s="2"/>
      <x:c r="D280" s="2"/>
      <x:c r="E280" s="2"/>
    </x:row>
    <x:row r="281">
      <x:c r="A281" s="2"/>
      <x:c r="B281" s="2"/>
      <x:c r="C281" s="2"/>
      <x:c r="D281" s="2"/>
      <x:c r="E281" s="2"/>
    </x:row>
    <x:row r="282">
      <x:c r="A282" s="2"/>
      <x:c r="B282" s="2"/>
      <x:c r="C282" s="2"/>
      <x:c r="D282" s="2"/>
      <x:c r="E282" s="2"/>
    </x:row>
    <x:row r="283">
      <x:c r="A283" s="2"/>
      <x:c r="B283" s="2"/>
      <x:c r="C283" s="2"/>
      <x:c r="D283" s="2"/>
      <x:c r="E283" s="2"/>
    </x:row>
    <x:row r="284">
      <x:c r="A284" s="2"/>
      <x:c r="B284" s="2"/>
      <x:c r="C284" s="2"/>
      <x:c r="D284" s="2"/>
      <x:c r="E284" s="2"/>
    </x:row>
    <x:row r="285">
      <x:c r="A285" s="2"/>
      <x:c r="B285" s="2"/>
      <x:c r="C285" s="2"/>
      <x:c r="D285" s="2"/>
      <x:c r="E285" s="2"/>
    </x:row>
    <x:row r="286">
      <x:c r="A286" s="2"/>
      <x:c r="B286" s="2"/>
      <x:c r="C286" s="2"/>
      <x:c r="D286" s="2"/>
      <x:c r="E286" s="2"/>
    </x:row>
    <x:row r="287">
      <x:c r="A287" s="2"/>
      <x:c r="B287" s="2"/>
      <x:c r="C287" s="2"/>
      <x:c r="D287" s="2"/>
      <x:c r="E287" s="2"/>
    </x:row>
    <x:row r="288">
      <x:c r="A288" s="2"/>
      <x:c r="B288" s="2"/>
      <x:c r="C288" s="2"/>
      <x:c r="D288" s="2"/>
      <x:c r="E288" s="2"/>
    </x:row>
    <x:row r="289">
      <x:c r="A289" s="2"/>
      <x:c r="B289" s="2"/>
      <x:c r="C289" s="2"/>
      <x:c r="D289" s="2"/>
      <x:c r="E289" s="2"/>
    </x:row>
    <x:row r="290">
      <x:c r="A290" s="2"/>
      <x:c r="B290" s="2"/>
      <x:c r="C290" s="2"/>
      <x:c r="D290" s="2"/>
      <x:c r="E290" s="2"/>
    </x:row>
    <x:row r="291">
      <x:c r="A291" s="2"/>
      <x:c r="B291" s="2"/>
      <x:c r="C291" s="2"/>
      <x:c r="D291" s="2"/>
      <x:c r="E291" s="2"/>
    </x:row>
    <x:row r="292">
      <x:c r="A292" s="2"/>
      <x:c r="B292" s="2"/>
      <x:c r="C292" s="2"/>
      <x:c r="D292" s="2"/>
      <x:c r="E292" s="2"/>
    </x:row>
    <x:row r="293">
      <x:c r="A293" s="2"/>
      <x:c r="B293" s="2"/>
      <x:c r="C293" s="2"/>
      <x:c r="D293" s="2"/>
      <x:c r="E293" s="2"/>
    </x:row>
    <x:row r="294">
      <x:c r="A294" s="2"/>
      <x:c r="B294" s="2"/>
      <x:c r="C294" s="2"/>
      <x:c r="D294" s="2"/>
      <x:c r="E294" s="2"/>
    </x:row>
    <x:row r="295">
      <x:c r="A295" s="2"/>
      <x:c r="B295" s="2"/>
      <x:c r="C295" s="2"/>
      <x:c r="D295" s="2"/>
      <x:c r="E295" s="2"/>
    </x:row>
    <x:row r="296">
      <x:c r="A296" s="2"/>
      <x:c r="B296" s="2"/>
      <x:c r="C296" s="2"/>
      <x:c r="D296" s="2"/>
      <x:c r="E296" s="2"/>
    </x:row>
    <x:row r="297">
      <x:c r="A297" s="2"/>
      <x:c r="B297" s="2"/>
      <x:c r="C297" s="2"/>
      <x:c r="D297" s="2"/>
      <x:c r="E297" s="2"/>
    </x:row>
    <x:row r="298">
      <x:c r="A298" s="2"/>
      <x:c r="B298" s="2"/>
      <x:c r="C298" s="2"/>
      <x:c r="D298" s="2"/>
      <x:c r="E298" s="2"/>
    </x:row>
    <x:row r="299">
      <x:c r="A299" s="2"/>
      <x:c r="B299" s="2"/>
      <x:c r="C299" s="2"/>
      <x:c r="D299" s="2"/>
      <x:c r="E299" s="2"/>
    </x:row>
    <x:row r="300">
      <x:c r="A300" s="2"/>
      <x:c r="B300" s="2"/>
      <x:c r="C300" s="2"/>
      <x:c r="D300" s="2"/>
      <x:c r="E300" s="2"/>
    </x:row>
  </x:sheetData>
  <x:mergeCells>
    <x:mergeCell ref="A1:E1"/>
    <x:mergeCell ref="A2:E2"/>
  </x:mergeCells>
  <x:pageMargins left="0.7" right="0.7" top="0.75" bottom="0.75" header="0.3" footer="0.3"/>
</x:worksheet>
</file>

<file path=xl/worksheets/sheet19.xml><?xml version="1.0" encoding="utf-8"?>
<x:worksheet xmlns:x="http://schemas.openxmlformats.org/spreadsheetml/2006/main">
  <x:sheetFormatPr defaultRowHeight="15"/>
  <x:cols>
    <x:col min="1" max="1" width="16.670000076293945" hidden="0" customWidth="1"/>
    <x:col min="2" max="2" width="25.559999465942383" hidden="0" customWidth="1"/>
    <x:col min="3" max="3" width="10" hidden="0" customWidth="1"/>
    <x:col min="4" max="4" width="15.5600004196167" hidden="0" customWidth="1"/>
    <x:col min="5" max="5" width="10" hidden="0" customWidth="1"/>
    <x:col min="6" max="6" width="15.5600004196167" hidden="0" customWidth="1"/>
    <x:col min="7" max="7" width="11.670000076293945" hidden="0" customWidth="1"/>
    <x:col min="8" max="8" width="12.220000267028809" hidden="0" customWidth="1"/>
    <x:col min="9" max="9" width="35.560001373291016" hidden="0" customWidth="1"/>
    <x:col min="10" max="10" width="13.109999656677246" hidden="0" customWidth="1"/>
    <x:col min="11" max="11" width="13.109999656677246" hidden="0" customWidth="1"/>
    <x:col min="12" max="12" width="13.109999656677246" hidden="0" customWidth="1"/>
    <x:col min="13" max="13" width="13.109999656677246" hidden="0" customWidth="1"/>
  </x:cols>
  <x:sheetData>
    <x:row r="1">
      <x:c r="A1" s="4" t="str">
        <x:v>Coverage Audit</x:v>
      </x:c>
      <x:c r="B1" s="4" t="str">
        <x:v>Coverage Audit</x:v>
      </x:c>
      <x:c r="C1" s="4" t="str">
        <x:v>Coverage Audit</x:v>
      </x:c>
      <x:c r="D1" s="4" t="str">
        <x:v>Coverage Audit</x:v>
      </x:c>
    </x:row>
    <x:row r="2">
      <x:c r="A2" s="6" t="str">
        <x:v>Cross-check of this workbook against the Cisco OS receiver workstreams and Splunk O11y sizing model.</x:v>
      </x:c>
      <x:c r="B2" s="6" t="str">
        <x:v>Cross-check of this workbook against the Cisco OS receiver workstreams and Splunk O11y sizing model.</x:v>
      </x:c>
      <x:c r="C2" s="6" t="str">
        <x:v>Cross-check of this workbook against the Cisco OS receiver workstreams and Splunk O11y sizing model.</x:v>
      </x:c>
      <x:c r="D2" s="6" t="str">
        <x:v>Cross-check of this workbook against the Cisco OS receiver workstreams and Splunk O11y sizing model.</x:v>
      </x:c>
    </x:row>
    <x:row r="3">
      <x:c r="A3" s="2"/>
      <x:c r="B3" s="2"/>
      <x:c r="C3" s="2"/>
      <x:c r="D3" s="2"/>
    </x:row>
    <x:row r="4">
      <x:c r="A4" s="2"/>
      <x:c r="B4" s="2"/>
      <x:c r="C4" s="2"/>
      <x:c r="D4" s="2"/>
    </x:row>
    <x:row r="5">
      <x:c r="A5" s="9" t="str">
        <x:v>Workstream</x:v>
      </x:c>
      <x:c r="B5" s="9" t="str">
        <x:v>Primary source files</x:v>
      </x:c>
      <x:c r="C5" s="9" t="str">
        <x:v>Workbook coverage</x:v>
      </x:c>
      <x:c r="D5" s="9" t="str">
        <x:v>Status</x:v>
      </x:c>
    </x:row>
    <x:row r="6">
      <x:c r="A6" s="2" t="str">
        <x:v>SSH system and interface scrapers</x:v>
      </x:c>
      <x:c r="B6" s="2" t="str">
        <x:v>systemscraper/metadata.yaml; interfacesscraper/metadata.yaml; docs/metrics.md</x:v>
      </x:c>
      <x:c r="C6" s="2" t="str">
        <x:v>Calculator rows for default health, interface telemetry, optional rates/counters, QoS, topology, routing, hardware, and IOS XE QFP.</x:v>
      </x:c>
      <x:c r="D6" s="2" t="str">
        <x:v>Covered</x:v>
      </x:c>
    </x:row>
    <x:row r="7">
      <x:c r="A7" s="2" t="str">
        <x:v>Meraki Dashboard API</x:v>
      </x:c>
      <x:c r="B7" s="2" t="str">
        <x:v>meraki_receiver.go; internal/meraki/*; README.md</x:v>
      </x:c>
      <x:c r="C7" s="2" t="str">
        <x:v>Rows and scenario tab for API health, inventory/status, uplinks, switch ports, wireless, VPN, topology, optics, power, and appliance performance.</x:v>
      </x:c>
      <x:c r="D7" s="2" t="str">
        <x:v>Covered</x:v>
      </x:c>
    </x:row>
    <x:row r="8">
      <x:c r="A8" s="2" t="str">
        <x:v>Cisco Intersight</x:v>
      </x:c>
      <x:c r="B8" s="2" t="str">
        <x:v>intersight_receiver.go; internal/intersight/*; docs/splunk-o11y.md</x:v>
      </x:c>
      <x:c r="C8" s="2" t="str">
        <x:v>Rows and scenario tab for API health, resource state, incidents/events, audit counts, infrastructure fields, and telemetry groups.</x:v>
      </x:c>
      <x:c r="D8" s="2" t="str">
        <x:v>Covered</x:v>
      </x:c>
    </x:row>
    <x:row r="9">
      <x:c r="A9" s="2" t="str">
        <x:v>Catalyst Center</x:v>
      </x:c>
      <x:c r="B9" s="2" t="str">
        <x:v>catalyst_center_receiver.go; internal/catalystcenter/*; docs/splunk-o11y.md</x:v>
      </x:c>
      <x:c r="C9" s="2" t="str">
        <x:v>Rows and scenario tab for API health, inventory/reachability, Assurance health, topology/issues, and targeted details.</x:v>
      </x:c>
      <x:c r="D9" s="2" t="str">
        <x:v>Covered</x:v>
      </x:c>
    </x:row>
    <x:row r="10">
      <x:c r="A10" s="2" t="str">
        <x:v>Catalyst 9800 WLC</x:v>
      </x:c>
      <x:c r="B10" s="2" t="str">
        <x:v>catalyst9800_config.go; catalyst9800_paths.go; catalyst9800_metrics.go</x:v>
      </x:c>
      <x:c r="C10" s="2" t="str">
        <x:v>Rows and scenario tab for receiver health, AP/CAPWAP, RF/RRM, SSID, mobility/HA/auth, controller system, client detail, and neighbor-heavy path groups.</x:v>
      </x:c>
      <x:c r="D10" s="2" t="str">
        <x:v>Added</x:v>
      </x:c>
    </x:row>
    <x:row r="11">
      <x:c r="A11" s="2" t="str">
        <x:v>Catalyst SD-WAN</x:v>
      </x:c>
      <x:c r="B11" s="2" t="str">
        <x:v>sdwan_receiver.go; internal/sdwan/*</x:v>
      </x:c>
      <x:c r="C11" s="2" t="str">
        <x:v>Rows and scenario tab for manager health, inventory/reachability, control/BFD/AppRoute, interfaces, records, realtime/tunnel/flow, security, NWPI, underlay, cellular, lifecycle, and management-security groups.</x:v>
      </x:c>
      <x:c r="D11" s="2" t="str">
        <x:v>Added</x:v>
      </x:c>
    </x:row>
    <x:row r="12">
      <x:c r="A12" s="2" t="str">
        <x:v>Nexus Dashboard, NDFC, Insights, NDO, Data Broker</x:v>
      </x:c>
      <x:c r="B12" s="2" t="str">
        <x:v>nexusdashboard_receiver.go; internal/nexusdashboard/*; docs/splunk-o11y.md</x:v>
      </x:c>
      <x:c r="C12" s="2" t="str">
        <x:v>Rows and scenario tab for API/scrape/service health, resources/fabric/switch state, Insights anomalies, Orchestrator, and Data Broker.</x:v>
      </x:c>
      <x:c r="D12" s="2" t="str">
        <x:v>Covered</x:v>
      </x:c>
    </x:row>
    <x:row r="13">
      <x:c r="A13" s="2" t="str">
        <x:v>ACI / APIC</x:v>
      </x:c>
      <x:c r="B13" s="2" t="str">
        <x:v>aci_receiver.go; internal/aci/*; docs/splunk-o11y.md</x:v>
      </x:c>
      <x:c r="C13" s="2" t="str">
        <x:v>Rows and scenario tab for APIC API/scrape health, fabric resources/faults, endpoints/tenant objects, topology, and interface symptoms.</x:v>
      </x:c>
      <x:c r="D13" s="2" t="str">
        <x:v>Covered</x:v>
      </x:c>
    </x:row>
    <x:row r="14">
      <x:c r="A14" s="2" t="str">
        <x:v>Secure Firewall Management Center (FMC)</x:v>
      </x:c>
      <x:c r="B14" s="2" t="str">
        <x:v>fmc_receiver.go; internal/fmc/*</x:v>
      </x:c>
      <x:c r="C14" s="2" t="str">
        <x:v>Rows and scenario tab for REST health, managed firewall inventory/status, interfaces/HA/VPN/health, policy/deployment state, audit/security counts, and eStreamer receiver health.</x:v>
      </x:c>
      <x:c r="D14" s="2" t="str">
        <x:v>Added</x:v>
      </x:c>
    </x:row>
    <x:row r="15">
      <x:c r="A15" s="2" t="str">
        <x:v>Identity Services Engine (ISE)</x:v>
      </x:c>
      <x:c r="B15" s="2" t="str">
        <x:v>ise_receiver.go; ise_config.go; internal/ise/*</x:v>
      </x:c>
      <x:c r="C15" s="2" t="str">
        <x:v>Rows and scenario tab for API/Data Connect health, deployment, network devices, endpoints/sessions, auth/accounting/posture/profiler/TrustSec, policy/cert/licensing/webhooks, pxGrid, and Data Connect views.</x:v>
      </x:c>
      <x:c r="D15" s="2" t="str">
        <x:v>Added</x:v>
      </x:c>
    </x:row>
    <x:row r="16">
      <x:c r="A16" s="2" t="str">
        <x:v>IOS XR gNMI/MDT</x:v>
      </x:c>
      <x:c r="B16" s="2" t="str">
        <x:v>iosxr_config.go; iosxr_paths.go; iosxr_gnmi*.go; iosxr_metrics.go</x:v>
      </x:c>
      <x:c r="C16" s="2" t="str">
        <x:v>Rows and scenario tab for receiver health, system/platform/environment, interfaces, optics, routing/FIB/BGP/ISIS/MPLS/SR, QoS/security/BFD, topology/time sync/ASIC, telemetry self-health, and high-volume route/flow paths.</x:v>
      </x:c>
      <x:c r="D16" s="2" t="str">
        <x:v>Added</x:v>
      </x:c>
    </x:row>
    <x:row r="17">
      <x:c r="A17" s="2" t="str">
        <x:v>Splunk Observability Cloud sizing</x:v>
      </x:c>
      <x:c r="B17" s="2" t="str">
        <x:v>Splunk O11y Check sheet</x:v>
      </x:c>
      <x:c r="C17" s="2" t="str">
        <x:v>MTS and DPM formulas are documented and source-backed. Histogram 8x caveat is retained for future metric types.</x:v>
      </x:c>
      <x:c r="D17" s="2" t="str">
        <x:v>Covered</x:v>
      </x:c>
    </x:row>
    <x:row r="18">
      <x:c r="A18" s="2"/>
      <x:c r="B18" s="2"/>
      <x:c r="C18" s="2"/>
      <x:c r="D18" s="2"/>
    </x:row>
    <x:row r="19">
      <x:c r="A19" s="2"/>
      <x:c r="B19" s="2"/>
      <x:c r="C19" s="2"/>
      <x:c r="D19" s="2"/>
    </x:row>
    <x:row r="20">
      <x:c r="A20" s="2"/>
      <x:c r="B20" s="2"/>
      <x:c r="C20" s="2"/>
      <x:c r="D20" s="2"/>
    </x:row>
    <x:row r="21">
      <x:c r="A21" s="2"/>
      <x:c r="B21" s="2"/>
      <x:c r="C21" s="2"/>
      <x:c r="D21" s="2"/>
    </x:row>
    <x:row r="22">
      <x:c r="A22" s="2"/>
      <x:c r="B22" s="2"/>
      <x:c r="C22" s="2"/>
      <x:c r="D22" s="2"/>
    </x:row>
    <x:row r="23">
      <x:c r="A23" s="2"/>
      <x:c r="B23" s="2"/>
      <x:c r="C23" s="2"/>
      <x:c r="D23" s="2"/>
    </x:row>
    <x:row r="24">
      <x:c r="A24" s="2"/>
      <x:c r="B24" s="2"/>
      <x:c r="C24" s="2"/>
      <x:c r="D24" s="2"/>
    </x:row>
    <x:row r="25">
      <x:c r="A25" s="2"/>
      <x:c r="B25" s="2"/>
      <x:c r="C25" s="2"/>
      <x:c r="D25" s="2"/>
    </x:row>
    <x:row r="26">
      <x:c r="A26" s="2"/>
      <x:c r="B26" s="2"/>
      <x:c r="C26" s="2"/>
      <x:c r="D26" s="2"/>
    </x:row>
    <x:row r="27">
      <x:c r="A27" s="2"/>
      <x:c r="B27" s="2"/>
      <x:c r="C27" s="2"/>
      <x:c r="D27" s="2"/>
    </x:row>
    <x:row r="28">
      <x:c r="A28" s="2"/>
      <x:c r="B28" s="2"/>
      <x:c r="C28" s="2"/>
      <x:c r="D28" s="2"/>
    </x:row>
    <x:row r="29">
      <x:c r="A29" s="2"/>
      <x:c r="B29" s="2"/>
      <x:c r="C29" s="2"/>
      <x:c r="D29" s="2"/>
    </x:row>
    <x:row r="30">
      <x:c r="A30" s="2"/>
      <x:c r="B30" s="2"/>
      <x:c r="C30" s="2"/>
      <x:c r="D30" s="2"/>
    </x:row>
    <x:row r="31">
      <x:c r="A31" s="2"/>
      <x:c r="B31" s="2"/>
      <x:c r="C31" s="2"/>
      <x:c r="D31" s="2"/>
    </x:row>
    <x:row r="32">
      <x:c r="A32" s="2"/>
      <x:c r="B32" s="2"/>
      <x:c r="C32" s="2"/>
      <x:c r="D32" s="2"/>
    </x:row>
    <x:row r="33">
      <x:c r="A33" s="2"/>
      <x:c r="B33" s="2"/>
      <x:c r="C33" s="2"/>
      <x:c r="D33" s="2"/>
    </x:row>
    <x:row r="34">
      <x:c r="A34" s="2"/>
      <x:c r="B34" s="2"/>
      <x:c r="C34" s="2"/>
      <x:c r="D34" s="2"/>
    </x:row>
    <x:row r="35">
      <x:c r="A35" s="2"/>
      <x:c r="B35" s="2"/>
      <x:c r="C35" s="2"/>
      <x:c r="D35" s="2"/>
    </x:row>
    <x:row r="36">
      <x:c r="A36" s="2"/>
      <x:c r="B36" s="2"/>
      <x:c r="C36" s="2"/>
      <x:c r="D36" s="2"/>
    </x:row>
    <x:row r="37">
      <x:c r="A37" s="2"/>
      <x:c r="B37" s="2"/>
      <x:c r="C37" s="2"/>
      <x:c r="D37" s="2"/>
    </x:row>
    <x:row r="38">
      <x:c r="A38" s="2"/>
      <x:c r="B38" s="2"/>
      <x:c r="C38" s="2"/>
      <x:c r="D38" s="2"/>
    </x:row>
    <x:row r="39">
      <x:c r="A39" s="2"/>
      <x:c r="B39" s="2"/>
      <x:c r="C39" s="2"/>
      <x:c r="D39" s="2"/>
    </x:row>
    <x:row r="40">
      <x:c r="A40" s="2"/>
      <x:c r="B40" s="2"/>
      <x:c r="C40" s="2"/>
      <x:c r="D40" s="2"/>
    </x:row>
    <x:row r="41">
      <x:c r="A41" s="2"/>
      <x:c r="B41" s="2"/>
      <x:c r="C41" s="2"/>
      <x:c r="D41" s="2"/>
    </x:row>
    <x:row r="42">
      <x:c r="A42" s="2"/>
      <x:c r="B42" s="2"/>
      <x:c r="C42" s="2"/>
      <x:c r="D42" s="2"/>
    </x:row>
    <x:row r="43">
      <x:c r="A43" s="2"/>
      <x:c r="B43" s="2"/>
      <x:c r="C43" s="2"/>
      <x:c r="D43" s="2"/>
    </x:row>
    <x:row r="44">
      <x:c r="A44" s="2"/>
      <x:c r="B44" s="2"/>
      <x:c r="C44" s="2"/>
      <x:c r="D44" s="2"/>
    </x:row>
    <x:row r="45">
      <x:c r="A45" s="2"/>
      <x:c r="B45" s="2"/>
      <x:c r="C45" s="2"/>
      <x:c r="D45" s="2"/>
    </x:row>
    <x:row r="46">
      <x:c r="A46" s="2"/>
      <x:c r="B46" s="2"/>
      <x:c r="C46" s="2"/>
      <x:c r="D46" s="2"/>
    </x:row>
    <x:row r="47">
      <x:c r="A47" s="2"/>
      <x:c r="B47" s="2"/>
      <x:c r="C47" s="2"/>
      <x:c r="D47" s="2"/>
    </x:row>
    <x:row r="48">
      <x:c r="A48" s="2"/>
      <x:c r="B48" s="2"/>
      <x:c r="C48" s="2"/>
      <x:c r="D48" s="2"/>
    </x:row>
    <x:row r="49">
      <x:c r="A49" s="2"/>
      <x:c r="B49" s="2"/>
      <x:c r="C49" s="2"/>
      <x:c r="D49" s="2"/>
    </x:row>
    <x:row r="50">
      <x:c r="A50" s="2"/>
      <x:c r="B50" s="2"/>
      <x:c r="C50" s="2"/>
      <x:c r="D50" s="2"/>
    </x:row>
    <x:row r="51">
      <x:c r="A51" s="2"/>
      <x:c r="B51" s="2"/>
      <x:c r="C51" s="2"/>
      <x:c r="D51" s="2"/>
    </x:row>
    <x:row r="52">
      <x:c r="A52" s="2"/>
      <x:c r="B52" s="2"/>
      <x:c r="C52" s="2"/>
      <x:c r="D52" s="2"/>
    </x:row>
    <x:row r="53">
      <x:c r="A53" s="2"/>
      <x:c r="B53" s="2"/>
      <x:c r="C53" s="2"/>
      <x:c r="D53" s="2"/>
    </x:row>
    <x:row r="54">
      <x:c r="A54" s="2"/>
      <x:c r="B54" s="2"/>
      <x:c r="C54" s="2"/>
      <x:c r="D54" s="2"/>
    </x:row>
    <x:row r="55">
      <x:c r="A55" s="2"/>
      <x:c r="B55" s="2"/>
      <x:c r="C55" s="2"/>
      <x:c r="D55" s="2"/>
    </x:row>
    <x:row r="56">
      <x:c r="A56" s="2"/>
      <x:c r="B56" s="2"/>
      <x:c r="C56" s="2"/>
      <x:c r="D56" s="2"/>
    </x:row>
    <x:row r="57">
      <x:c r="A57" s="2"/>
      <x:c r="B57" s="2"/>
      <x:c r="C57" s="2"/>
      <x:c r="D57" s="2"/>
    </x:row>
    <x:row r="58">
      <x:c r="A58" s="2"/>
      <x:c r="B58" s="2"/>
      <x:c r="C58" s="2"/>
      <x:c r="D58" s="2"/>
    </x:row>
    <x:row r="59">
      <x:c r="A59" s="2"/>
      <x:c r="B59" s="2"/>
      <x:c r="C59" s="2"/>
      <x:c r="D59" s="2"/>
    </x:row>
    <x:row r="60">
      <x:c r="A60" s="2"/>
      <x:c r="B60" s="2"/>
      <x:c r="C60" s="2"/>
      <x:c r="D60" s="2"/>
    </x:row>
    <x:row r="61">
      <x:c r="A61" s="2"/>
      <x:c r="B61" s="2"/>
      <x:c r="C61" s="2"/>
      <x:c r="D61" s="2"/>
    </x:row>
    <x:row r="62">
      <x:c r="A62" s="2"/>
      <x:c r="B62" s="2"/>
      <x:c r="C62" s="2"/>
      <x:c r="D62" s="2"/>
    </x:row>
    <x:row r="63">
      <x:c r="A63" s="2"/>
      <x:c r="B63" s="2"/>
      <x:c r="C63" s="2"/>
      <x:c r="D63" s="2"/>
    </x:row>
    <x:row r="64">
      <x:c r="A64" s="2"/>
      <x:c r="B64" s="2"/>
      <x:c r="C64" s="2"/>
      <x:c r="D64" s="2"/>
    </x:row>
    <x:row r="65">
      <x:c r="A65" s="2"/>
      <x:c r="B65" s="2"/>
      <x:c r="C65" s="2"/>
      <x:c r="D65" s="2"/>
    </x:row>
    <x:row r="66">
      <x:c r="A66" s="2"/>
      <x:c r="B66" s="2"/>
      <x:c r="C66" s="2"/>
      <x:c r="D66" s="2"/>
    </x:row>
    <x:row r="67">
      <x:c r="A67" s="2"/>
      <x:c r="B67" s="2"/>
      <x:c r="C67" s="2"/>
      <x:c r="D67" s="2"/>
    </x:row>
    <x:row r="68">
      <x:c r="A68" s="2"/>
      <x:c r="B68" s="2"/>
      <x:c r="C68" s="2"/>
      <x:c r="D68" s="2"/>
    </x:row>
    <x:row r="69">
      <x:c r="A69" s="2"/>
      <x:c r="B69" s="2"/>
      <x:c r="C69" s="2"/>
      <x:c r="D69" s="2"/>
    </x:row>
    <x:row r="70">
      <x:c r="A70" s="2"/>
      <x:c r="B70" s="2"/>
      <x:c r="C70" s="2"/>
      <x:c r="D70" s="2"/>
    </x:row>
    <x:row r="71">
      <x:c r="A71" s="2"/>
      <x:c r="B71" s="2"/>
      <x:c r="C71" s="2"/>
      <x:c r="D71" s="2"/>
    </x:row>
    <x:row r="72">
      <x:c r="A72" s="2"/>
      <x:c r="B72" s="2"/>
      <x:c r="C72" s="2"/>
      <x:c r="D72" s="2"/>
    </x:row>
    <x:row r="73">
      <x:c r="A73" s="2"/>
      <x:c r="B73" s="2"/>
      <x:c r="C73" s="2"/>
      <x:c r="D73" s="2"/>
    </x:row>
    <x:row r="74">
      <x:c r="A74" s="2"/>
      <x:c r="B74" s="2"/>
      <x:c r="C74" s="2"/>
      <x:c r="D74" s="2"/>
    </x:row>
    <x:row r="75">
      <x:c r="A75" s="2"/>
      <x:c r="B75" s="2"/>
      <x:c r="C75" s="2"/>
      <x:c r="D75" s="2"/>
    </x:row>
    <x:row r="76">
      <x:c r="A76" s="2"/>
      <x:c r="B76" s="2"/>
      <x:c r="C76" s="2"/>
      <x:c r="D76" s="2"/>
    </x:row>
    <x:row r="77">
      <x:c r="A77" s="2"/>
      <x:c r="B77" s="2"/>
      <x:c r="C77" s="2"/>
      <x:c r="D77" s="2"/>
    </x:row>
    <x:row r="78">
      <x:c r="A78" s="2"/>
      <x:c r="B78" s="2"/>
      <x:c r="C78" s="2"/>
      <x:c r="D78" s="2"/>
    </x:row>
    <x:row r="79">
      <x:c r="A79" s="2"/>
      <x:c r="B79" s="2"/>
      <x:c r="C79" s="2"/>
      <x:c r="D79" s="2"/>
    </x:row>
    <x:row r="80">
      <x:c r="A80" s="2"/>
      <x:c r="B80" s="2"/>
      <x:c r="C80" s="2"/>
      <x:c r="D80" s="2"/>
    </x:row>
    <x:row r="81">
      <x:c r="A81" s="2"/>
      <x:c r="B81" s="2"/>
      <x:c r="C81" s="2"/>
      <x:c r="D81" s="2"/>
    </x:row>
    <x:row r="82">
      <x:c r="A82" s="2"/>
      <x:c r="B82" s="2"/>
      <x:c r="C82" s="2"/>
      <x:c r="D82" s="2"/>
    </x:row>
    <x:row r="83">
      <x:c r="A83" s="2"/>
      <x:c r="B83" s="2"/>
      <x:c r="C83" s="2"/>
      <x:c r="D83" s="2"/>
    </x:row>
    <x:row r="84">
      <x:c r="A84" s="2"/>
      <x:c r="B84" s="2"/>
      <x:c r="C84" s="2"/>
      <x:c r="D84" s="2"/>
    </x:row>
    <x:row r="85">
      <x:c r="A85" s="2"/>
      <x:c r="B85" s="2"/>
      <x:c r="C85" s="2"/>
      <x:c r="D85" s="2"/>
    </x:row>
    <x:row r="86">
      <x:c r="A86" s="2"/>
      <x:c r="B86" s="2"/>
      <x:c r="C86" s="2"/>
      <x:c r="D86" s="2"/>
    </x:row>
    <x:row r="87">
      <x:c r="A87" s="2"/>
      <x:c r="B87" s="2"/>
      <x:c r="C87" s="2"/>
      <x:c r="D87" s="2"/>
    </x:row>
    <x:row r="88">
      <x:c r="A88" s="2"/>
      <x:c r="B88" s="2"/>
      <x:c r="C88" s="2"/>
      <x:c r="D88" s="2"/>
    </x:row>
    <x:row r="89">
      <x:c r="A89" s="2"/>
      <x:c r="B89" s="2"/>
      <x:c r="C89" s="2"/>
      <x:c r="D89" s="2"/>
    </x:row>
    <x:row r="90">
      <x:c r="A90" s="2"/>
      <x:c r="B90" s="2"/>
      <x:c r="C90" s="2"/>
      <x:c r="D90" s="2"/>
    </x:row>
    <x:row r="91">
      <x:c r="A91" s="2"/>
      <x:c r="B91" s="2"/>
      <x:c r="C91" s="2"/>
      <x:c r="D91" s="2"/>
    </x:row>
    <x:row r="92">
      <x:c r="A92" s="2"/>
      <x:c r="B92" s="2"/>
      <x:c r="C92" s="2"/>
      <x:c r="D92" s="2"/>
    </x:row>
    <x:row r="93">
      <x:c r="A93" s="2"/>
      <x:c r="B93" s="2"/>
      <x:c r="C93" s="2"/>
      <x:c r="D93" s="2"/>
    </x:row>
    <x:row r="94">
      <x:c r="A94" s="2"/>
      <x:c r="B94" s="2"/>
      <x:c r="C94" s="2"/>
      <x:c r="D94" s="2"/>
    </x:row>
    <x:row r="95">
      <x:c r="A95" s="2"/>
      <x:c r="B95" s="2"/>
      <x:c r="C95" s="2"/>
      <x:c r="D95" s="2"/>
    </x:row>
    <x:row r="96">
      <x:c r="A96" s="2"/>
      <x:c r="B96" s="2"/>
      <x:c r="C96" s="2"/>
      <x:c r="D96" s="2"/>
    </x:row>
    <x:row r="97">
      <x:c r="A97" s="2"/>
      <x:c r="B97" s="2"/>
      <x:c r="C97" s="2"/>
      <x:c r="D97" s="2"/>
    </x:row>
    <x:row r="98">
      <x:c r="A98" s="2"/>
      <x:c r="B98" s="2"/>
      <x:c r="C98" s="2"/>
      <x:c r="D98" s="2"/>
    </x:row>
    <x:row r="99">
      <x:c r="A99" s="2"/>
      <x:c r="B99" s="2"/>
      <x:c r="C99" s="2"/>
      <x:c r="D99" s="2"/>
    </x:row>
    <x:row r="100">
      <x:c r="A100" s="2"/>
      <x:c r="B100" s="2"/>
      <x:c r="C100" s="2"/>
      <x:c r="D100" s="2"/>
    </x:row>
    <x:row r="101">
      <x:c r="A101" s="2"/>
      <x:c r="B101" s="2"/>
      <x:c r="C101" s="2"/>
      <x:c r="D101" s="2"/>
    </x:row>
    <x:row r="102">
      <x:c r="A102" s="2"/>
      <x:c r="B102" s="2"/>
      <x:c r="C102" s="2"/>
      <x:c r="D102" s="2"/>
    </x:row>
    <x:row r="103">
      <x:c r="A103" s="2"/>
      <x:c r="B103" s="2"/>
      <x:c r="C103" s="2"/>
      <x:c r="D103" s="2"/>
    </x:row>
    <x:row r="104">
      <x:c r="A104" s="2"/>
      <x:c r="B104" s="2"/>
      <x:c r="C104" s="2"/>
      <x:c r="D104" s="2"/>
    </x:row>
    <x:row r="105">
      <x:c r="A105" s="2"/>
      <x:c r="B105" s="2"/>
      <x:c r="C105" s="2"/>
      <x:c r="D105" s="2"/>
    </x:row>
    <x:row r="106">
      <x:c r="A106" s="2"/>
      <x:c r="B106" s="2"/>
      <x:c r="C106" s="2"/>
      <x:c r="D106" s="2"/>
    </x:row>
    <x:row r="107">
      <x:c r="A107" s="2"/>
      <x:c r="B107" s="2"/>
      <x:c r="C107" s="2"/>
      <x:c r="D107" s="2"/>
    </x:row>
    <x:row r="108">
      <x:c r="A108" s="2"/>
      <x:c r="B108" s="2"/>
      <x:c r="C108" s="2"/>
      <x:c r="D108" s="2"/>
    </x:row>
    <x:row r="109">
      <x:c r="A109" s="2"/>
      <x:c r="B109" s="2"/>
      <x:c r="C109" s="2"/>
      <x:c r="D109" s="2"/>
    </x:row>
    <x:row r="110">
      <x:c r="A110" s="2"/>
      <x:c r="B110" s="2"/>
      <x:c r="C110" s="2"/>
      <x:c r="D110" s="2"/>
    </x:row>
    <x:row r="111">
      <x:c r="A111" s="2"/>
      <x:c r="B111" s="2"/>
      <x:c r="C111" s="2"/>
      <x:c r="D111" s="2"/>
    </x:row>
    <x:row r="112">
      <x:c r="A112" s="2"/>
      <x:c r="B112" s="2"/>
      <x:c r="C112" s="2"/>
      <x:c r="D112" s="2"/>
    </x:row>
    <x:row r="113">
      <x:c r="A113" s="2"/>
      <x:c r="B113" s="2"/>
      <x:c r="C113" s="2"/>
      <x:c r="D113" s="2"/>
    </x:row>
    <x:row r="114">
      <x:c r="A114" s="2"/>
      <x:c r="B114" s="2"/>
      <x:c r="C114" s="2"/>
      <x:c r="D114" s="2"/>
    </x:row>
    <x:row r="115">
      <x:c r="A115" s="2"/>
      <x:c r="B115" s="2"/>
      <x:c r="C115" s="2"/>
      <x:c r="D115" s="2"/>
    </x:row>
    <x:row r="116">
      <x:c r="A116" s="2"/>
      <x:c r="B116" s="2"/>
      <x:c r="C116" s="2"/>
      <x:c r="D116" s="2"/>
    </x:row>
    <x:row r="117">
      <x:c r="A117" s="2"/>
      <x:c r="B117" s="2"/>
      <x:c r="C117" s="2"/>
      <x:c r="D117" s="2"/>
    </x:row>
    <x:row r="118">
      <x:c r="A118" s="2"/>
      <x:c r="B118" s="2"/>
      <x:c r="C118" s="2"/>
      <x:c r="D118" s="2"/>
    </x:row>
    <x:row r="119">
      <x:c r="A119" s="2"/>
      <x:c r="B119" s="2"/>
      <x:c r="C119" s="2"/>
      <x:c r="D119" s="2"/>
    </x:row>
    <x:row r="120">
      <x:c r="A120" s="2"/>
      <x:c r="B120" s="2"/>
      <x:c r="C120" s="2"/>
      <x:c r="D120" s="2"/>
    </x:row>
    <x:row r="121">
      <x:c r="A121" s="2"/>
      <x:c r="B121" s="2"/>
      <x:c r="C121" s="2"/>
      <x:c r="D121" s="2"/>
    </x:row>
    <x:row r="122">
      <x:c r="A122" s="2"/>
      <x:c r="B122" s="2"/>
      <x:c r="C122" s="2"/>
      <x:c r="D122" s="2"/>
    </x:row>
    <x:row r="123">
      <x:c r="A123" s="2"/>
      <x:c r="B123" s="2"/>
      <x:c r="C123" s="2"/>
      <x:c r="D123" s="2"/>
    </x:row>
    <x:row r="124">
      <x:c r="A124" s="2"/>
      <x:c r="B124" s="2"/>
      <x:c r="C124" s="2"/>
      <x:c r="D124" s="2"/>
    </x:row>
    <x:row r="125">
      <x:c r="A125" s="2"/>
      <x:c r="B125" s="2"/>
      <x:c r="C125" s="2"/>
      <x:c r="D125" s="2"/>
    </x:row>
    <x:row r="126">
      <x:c r="A126" s="2"/>
      <x:c r="B126" s="2"/>
      <x:c r="C126" s="2"/>
      <x:c r="D126" s="2"/>
    </x:row>
    <x:row r="127">
      <x:c r="A127" s="2"/>
      <x:c r="B127" s="2"/>
      <x:c r="C127" s="2"/>
      <x:c r="D127" s="2"/>
    </x:row>
    <x:row r="128">
      <x:c r="A128" s="2"/>
      <x:c r="B128" s="2"/>
      <x:c r="C128" s="2"/>
      <x:c r="D128" s="2"/>
    </x:row>
    <x:row r="129">
      <x:c r="A129" s="2"/>
      <x:c r="B129" s="2"/>
      <x:c r="C129" s="2"/>
      <x:c r="D129" s="2"/>
    </x:row>
    <x:row r="130">
      <x:c r="A130" s="2"/>
      <x:c r="B130" s="2"/>
      <x:c r="C130" s="2"/>
      <x:c r="D130" s="2"/>
    </x:row>
    <x:row r="131">
      <x:c r="A131" s="2"/>
      <x:c r="B131" s="2"/>
      <x:c r="C131" s="2"/>
      <x:c r="D131" s="2"/>
    </x:row>
    <x:row r="132">
      <x:c r="A132" s="2"/>
      <x:c r="B132" s="2"/>
      <x:c r="C132" s="2"/>
      <x:c r="D132" s="2"/>
    </x:row>
    <x:row r="133">
      <x:c r="A133" s="2"/>
      <x:c r="B133" s="2"/>
      <x:c r="C133" s="2"/>
      <x:c r="D133" s="2"/>
    </x:row>
    <x:row r="134">
      <x:c r="A134" s="2"/>
      <x:c r="B134" s="2"/>
      <x:c r="C134" s="2"/>
      <x:c r="D134" s="2"/>
    </x:row>
    <x:row r="135">
      <x:c r="A135" s="2"/>
      <x:c r="B135" s="2"/>
      <x:c r="C135" s="2"/>
      <x:c r="D135" s="2"/>
    </x:row>
    <x:row r="136">
      <x:c r="A136" s="2"/>
      <x:c r="B136" s="2"/>
      <x:c r="C136" s="2"/>
      <x:c r="D136" s="2"/>
    </x:row>
    <x:row r="137">
      <x:c r="A137" s="2"/>
      <x:c r="B137" s="2"/>
      <x:c r="C137" s="2"/>
      <x:c r="D137" s="2"/>
    </x:row>
    <x:row r="138">
      <x:c r="A138" s="2"/>
      <x:c r="B138" s="2"/>
      <x:c r="C138" s="2"/>
      <x:c r="D138" s="2"/>
    </x:row>
    <x:row r="139">
      <x:c r="A139" s="2"/>
      <x:c r="B139" s="2"/>
      <x:c r="C139" s="2"/>
      <x:c r="D139" s="2"/>
    </x:row>
    <x:row r="140">
      <x:c r="A140" s="2"/>
      <x:c r="B140" s="2"/>
      <x:c r="C140" s="2"/>
      <x:c r="D140" s="2"/>
    </x:row>
    <x:row r="141">
      <x:c r="A141" s="2"/>
      <x:c r="B141" s="2"/>
      <x:c r="C141" s="2"/>
      <x:c r="D141" s="2"/>
    </x:row>
    <x:row r="142">
      <x:c r="A142" s="2"/>
      <x:c r="B142" s="2"/>
      <x:c r="C142" s="2"/>
      <x:c r="D142" s="2"/>
    </x:row>
    <x:row r="143">
      <x:c r="A143" s="2"/>
      <x:c r="B143" s="2"/>
      <x:c r="C143" s="2"/>
      <x:c r="D143" s="2"/>
    </x:row>
    <x:row r="144">
      <x:c r="A144" s="2"/>
      <x:c r="B144" s="2"/>
      <x:c r="C144" s="2"/>
      <x:c r="D144" s="2"/>
    </x:row>
    <x:row r="145">
      <x:c r="A145" s="2"/>
      <x:c r="B145" s="2"/>
      <x:c r="C145" s="2"/>
      <x:c r="D145" s="2"/>
    </x:row>
    <x:row r="146">
      <x:c r="A146" s="2"/>
      <x:c r="B146" s="2"/>
      <x:c r="C146" s="2"/>
      <x:c r="D146" s="2"/>
    </x:row>
    <x:row r="147">
      <x:c r="A147" s="2"/>
      <x:c r="B147" s="2"/>
      <x:c r="C147" s="2"/>
      <x:c r="D147" s="2"/>
    </x:row>
    <x:row r="148">
      <x:c r="A148" s="2"/>
      <x:c r="B148" s="2"/>
      <x:c r="C148" s="2"/>
      <x:c r="D148" s="2"/>
    </x:row>
    <x:row r="149">
      <x:c r="A149" s="2"/>
      <x:c r="B149" s="2"/>
      <x:c r="C149" s="2"/>
      <x:c r="D149" s="2"/>
    </x:row>
    <x:row r="150">
      <x:c r="A150" s="2"/>
      <x:c r="B150" s="2"/>
      <x:c r="C150" s="2"/>
      <x:c r="D150" s="2"/>
    </x:row>
    <x:row r="151">
      <x:c r="A151" s="2"/>
      <x:c r="B151" s="2"/>
      <x:c r="C151" s="2"/>
      <x:c r="D151" s="2"/>
    </x:row>
    <x:row r="152">
      <x:c r="A152" s="2"/>
      <x:c r="B152" s="2"/>
      <x:c r="C152" s="2"/>
      <x:c r="D152" s="2"/>
    </x:row>
    <x:row r="153">
      <x:c r="A153" s="2"/>
      <x:c r="B153" s="2"/>
      <x:c r="C153" s="2"/>
      <x:c r="D153" s="2"/>
    </x:row>
    <x:row r="154">
      <x:c r="A154" s="2"/>
      <x:c r="B154" s="2"/>
      <x:c r="C154" s="2"/>
      <x:c r="D154" s="2"/>
    </x:row>
    <x:row r="155">
      <x:c r="A155" s="2"/>
      <x:c r="B155" s="2"/>
      <x:c r="C155" s="2"/>
      <x:c r="D155" s="2"/>
    </x:row>
    <x:row r="156">
      <x:c r="A156" s="2"/>
      <x:c r="B156" s="2"/>
      <x:c r="C156" s="2"/>
      <x:c r="D156" s="2"/>
    </x:row>
    <x:row r="157">
      <x:c r="A157" s="2"/>
      <x:c r="B157" s="2"/>
      <x:c r="C157" s="2"/>
      <x:c r="D157" s="2"/>
    </x:row>
    <x:row r="158">
      <x:c r="A158" s="2"/>
      <x:c r="B158" s="2"/>
      <x:c r="C158" s="2"/>
      <x:c r="D158" s="2"/>
    </x:row>
    <x:row r="159">
      <x:c r="A159" s="2"/>
      <x:c r="B159" s="2"/>
      <x:c r="C159" s="2"/>
      <x:c r="D159" s="2"/>
    </x:row>
    <x:row r="160">
      <x:c r="A160" s="2"/>
      <x:c r="B160" s="2"/>
      <x:c r="C160" s="2"/>
      <x:c r="D160" s="2"/>
    </x:row>
    <x:row r="161">
      <x:c r="A161" s="2"/>
      <x:c r="B161" s="2"/>
      <x:c r="C161" s="2"/>
      <x:c r="D161" s="2"/>
    </x:row>
    <x:row r="162">
      <x:c r="A162" s="2"/>
      <x:c r="B162" s="2"/>
      <x:c r="C162" s="2"/>
      <x:c r="D162" s="2"/>
    </x:row>
    <x:row r="163">
      <x:c r="A163" s="2"/>
      <x:c r="B163" s="2"/>
      <x:c r="C163" s="2"/>
      <x:c r="D163" s="2"/>
    </x:row>
    <x:row r="164">
      <x:c r="A164" s="2"/>
      <x:c r="B164" s="2"/>
      <x:c r="C164" s="2"/>
      <x:c r="D164" s="2"/>
    </x:row>
    <x:row r="165">
      <x:c r="A165" s="2"/>
      <x:c r="B165" s="2"/>
      <x:c r="C165" s="2"/>
      <x:c r="D165" s="2"/>
    </x:row>
    <x:row r="166">
      <x:c r="A166" s="2"/>
      <x:c r="B166" s="2"/>
      <x:c r="C166" s="2"/>
      <x:c r="D166" s="2"/>
    </x:row>
    <x:row r="167">
      <x:c r="A167" s="2"/>
      <x:c r="B167" s="2"/>
      <x:c r="C167" s="2"/>
      <x:c r="D167" s="2"/>
    </x:row>
    <x:row r="168">
      <x:c r="A168" s="2"/>
      <x:c r="B168" s="2"/>
      <x:c r="C168" s="2"/>
      <x:c r="D168" s="2"/>
    </x:row>
    <x:row r="169">
      <x:c r="A169" s="2"/>
      <x:c r="B169" s="2"/>
      <x:c r="C169" s="2"/>
      <x:c r="D169" s="2"/>
    </x:row>
    <x:row r="170">
      <x:c r="A170" s="2"/>
      <x:c r="B170" s="2"/>
      <x:c r="C170" s="2"/>
      <x:c r="D170" s="2"/>
    </x:row>
    <x:row r="171">
      <x:c r="A171" s="2"/>
      <x:c r="B171" s="2"/>
      <x:c r="C171" s="2"/>
      <x:c r="D171" s="2"/>
    </x:row>
    <x:row r="172">
      <x:c r="A172" s="2"/>
      <x:c r="B172" s="2"/>
      <x:c r="C172" s="2"/>
      <x:c r="D172" s="2"/>
    </x:row>
    <x:row r="173">
      <x:c r="A173" s="2"/>
      <x:c r="B173" s="2"/>
      <x:c r="C173" s="2"/>
      <x:c r="D173" s="2"/>
    </x:row>
    <x:row r="174">
      <x:c r="A174" s="2"/>
      <x:c r="B174" s="2"/>
      <x:c r="C174" s="2"/>
      <x:c r="D174" s="2"/>
    </x:row>
    <x:row r="175">
      <x:c r="A175" s="2"/>
      <x:c r="B175" s="2"/>
      <x:c r="C175" s="2"/>
      <x:c r="D175" s="2"/>
    </x:row>
    <x:row r="176">
      <x:c r="A176" s="2"/>
      <x:c r="B176" s="2"/>
      <x:c r="C176" s="2"/>
      <x:c r="D176" s="2"/>
    </x:row>
    <x:row r="177">
      <x:c r="A177" s="2"/>
      <x:c r="B177" s="2"/>
      <x:c r="C177" s="2"/>
      <x:c r="D177" s="2"/>
    </x:row>
    <x:row r="178">
      <x:c r="A178" s="2"/>
      <x:c r="B178" s="2"/>
      <x:c r="C178" s="2"/>
      <x:c r="D178" s="2"/>
    </x:row>
    <x:row r="179">
      <x:c r="A179" s="2"/>
      <x:c r="B179" s="2"/>
      <x:c r="C179" s="2"/>
      <x:c r="D179" s="2"/>
    </x:row>
    <x:row r="180">
      <x:c r="A180" s="2"/>
      <x:c r="B180" s="2"/>
      <x:c r="C180" s="2"/>
      <x:c r="D180" s="2"/>
    </x:row>
    <x:row r="181">
      <x:c r="A181" s="2"/>
      <x:c r="B181" s="2"/>
      <x:c r="C181" s="2"/>
      <x:c r="D181" s="2"/>
    </x:row>
    <x:row r="182">
      <x:c r="A182" s="2"/>
      <x:c r="B182" s="2"/>
      <x:c r="C182" s="2"/>
      <x:c r="D182" s="2"/>
    </x:row>
    <x:row r="183">
      <x:c r="A183" s="2"/>
      <x:c r="B183" s="2"/>
      <x:c r="C183" s="2"/>
      <x:c r="D183" s="2"/>
    </x:row>
    <x:row r="184">
      <x:c r="A184" s="2"/>
      <x:c r="B184" s="2"/>
      <x:c r="C184" s="2"/>
      <x:c r="D184" s="2"/>
    </x:row>
    <x:row r="185">
      <x:c r="A185" s="2"/>
      <x:c r="B185" s="2"/>
      <x:c r="C185" s="2"/>
      <x:c r="D185" s="2"/>
    </x:row>
    <x:row r="186">
      <x:c r="A186" s="2"/>
      <x:c r="B186" s="2"/>
      <x:c r="C186" s="2"/>
      <x:c r="D186" s="2"/>
    </x:row>
    <x:row r="187">
      <x:c r="A187" s="2"/>
      <x:c r="B187" s="2"/>
      <x:c r="C187" s="2"/>
      <x:c r="D187" s="2"/>
    </x:row>
    <x:row r="188">
      <x:c r="A188" s="2"/>
      <x:c r="B188" s="2"/>
      <x:c r="C188" s="2"/>
      <x:c r="D188" s="2"/>
    </x:row>
    <x:row r="189">
      <x:c r="A189" s="2"/>
      <x:c r="B189" s="2"/>
      <x:c r="C189" s="2"/>
      <x:c r="D189" s="2"/>
    </x:row>
    <x:row r="190">
      <x:c r="A190" s="2"/>
      <x:c r="B190" s="2"/>
      <x:c r="C190" s="2"/>
      <x:c r="D190" s="2"/>
    </x:row>
    <x:row r="191">
      <x:c r="A191" s="2"/>
      <x:c r="B191" s="2"/>
      <x:c r="C191" s="2"/>
      <x:c r="D191" s="2"/>
    </x:row>
    <x:row r="192">
      <x:c r="A192" s="2"/>
      <x:c r="B192" s="2"/>
      <x:c r="C192" s="2"/>
      <x:c r="D192" s="2"/>
    </x:row>
    <x:row r="193">
      <x:c r="A193" s="2"/>
      <x:c r="B193" s="2"/>
      <x:c r="C193" s="2"/>
      <x:c r="D193" s="2"/>
    </x:row>
    <x:row r="194">
      <x:c r="A194" s="2"/>
      <x:c r="B194" s="2"/>
      <x:c r="C194" s="2"/>
      <x:c r="D194" s="2"/>
    </x:row>
    <x:row r="195">
      <x:c r="A195" s="2"/>
      <x:c r="B195" s="2"/>
      <x:c r="C195" s="2"/>
      <x:c r="D195" s="2"/>
    </x:row>
    <x:row r="196">
      <x:c r="A196" s="2"/>
      <x:c r="B196" s="2"/>
      <x:c r="C196" s="2"/>
      <x:c r="D196" s="2"/>
    </x:row>
    <x:row r="197">
      <x:c r="A197" s="2"/>
      <x:c r="B197" s="2"/>
      <x:c r="C197" s="2"/>
      <x:c r="D197" s="2"/>
    </x:row>
    <x:row r="198">
      <x:c r="A198" s="2"/>
      <x:c r="B198" s="2"/>
      <x:c r="C198" s="2"/>
      <x:c r="D198" s="2"/>
    </x:row>
    <x:row r="199">
      <x:c r="A199" s="2"/>
      <x:c r="B199" s="2"/>
      <x:c r="C199" s="2"/>
      <x:c r="D199" s="2"/>
    </x:row>
    <x:row r="200">
      <x:c r="A200" s="2"/>
      <x:c r="B200" s="2"/>
      <x:c r="C200" s="2"/>
      <x:c r="D200" s="2"/>
    </x:row>
    <x:row r="201">
      <x:c r="A201" s="2"/>
      <x:c r="B201" s="2"/>
      <x:c r="C201" s="2"/>
      <x:c r="D201" s="2"/>
    </x:row>
    <x:row r="202">
      <x:c r="A202" s="2"/>
      <x:c r="B202" s="2"/>
      <x:c r="C202" s="2"/>
      <x:c r="D202" s="2"/>
    </x:row>
    <x:row r="203">
      <x:c r="A203" s="2"/>
      <x:c r="B203" s="2"/>
      <x:c r="C203" s="2"/>
      <x:c r="D203" s="2"/>
    </x:row>
    <x:row r="204">
      <x:c r="A204" s="2"/>
      <x:c r="B204" s="2"/>
      <x:c r="C204" s="2"/>
      <x:c r="D204" s="2"/>
    </x:row>
    <x:row r="205">
      <x:c r="A205" s="2"/>
      <x:c r="B205" s="2"/>
      <x:c r="C205" s="2"/>
      <x:c r="D205" s="2"/>
    </x:row>
    <x:row r="206">
      <x:c r="A206" s="2"/>
      <x:c r="B206" s="2"/>
      <x:c r="C206" s="2"/>
      <x:c r="D206" s="2"/>
    </x:row>
    <x:row r="207">
      <x:c r="A207" s="2"/>
      <x:c r="B207" s="2"/>
      <x:c r="C207" s="2"/>
      <x:c r="D207" s="2"/>
    </x:row>
    <x:row r="208">
      <x:c r="A208" s="2"/>
      <x:c r="B208" s="2"/>
      <x:c r="C208" s="2"/>
      <x:c r="D208" s="2"/>
    </x:row>
    <x:row r="209">
      <x:c r="A209" s="2"/>
      <x:c r="B209" s="2"/>
      <x:c r="C209" s="2"/>
      <x:c r="D209" s="2"/>
    </x:row>
    <x:row r="210">
      <x:c r="A210" s="2"/>
      <x:c r="B210" s="2"/>
      <x:c r="C210" s="2"/>
      <x:c r="D210" s="2"/>
    </x:row>
    <x:row r="211">
      <x:c r="A211" s="2"/>
      <x:c r="B211" s="2"/>
      <x:c r="C211" s="2"/>
      <x:c r="D211" s="2"/>
    </x:row>
    <x:row r="212">
      <x:c r="A212" s="2"/>
      <x:c r="B212" s="2"/>
      <x:c r="C212" s="2"/>
      <x:c r="D212" s="2"/>
    </x:row>
    <x:row r="213">
      <x:c r="A213" s="2"/>
      <x:c r="B213" s="2"/>
      <x:c r="C213" s="2"/>
      <x:c r="D213" s="2"/>
    </x:row>
    <x:row r="214">
      <x:c r="A214" s="2"/>
      <x:c r="B214" s="2"/>
      <x:c r="C214" s="2"/>
      <x:c r="D214" s="2"/>
    </x:row>
    <x:row r="215">
      <x:c r="A215" s="2"/>
      <x:c r="B215" s="2"/>
      <x:c r="C215" s="2"/>
      <x:c r="D215" s="2"/>
    </x:row>
    <x:row r="216">
      <x:c r="A216" s="2"/>
      <x:c r="B216" s="2"/>
      <x:c r="C216" s="2"/>
      <x:c r="D216" s="2"/>
    </x:row>
    <x:row r="217">
      <x:c r="A217" s="2"/>
      <x:c r="B217" s="2"/>
      <x:c r="C217" s="2"/>
      <x:c r="D217" s="2"/>
    </x:row>
    <x:row r="218">
      <x:c r="A218" s="2"/>
      <x:c r="B218" s="2"/>
      <x:c r="C218" s="2"/>
      <x:c r="D218" s="2"/>
    </x:row>
    <x:row r="219">
      <x:c r="A219" s="2"/>
      <x:c r="B219" s="2"/>
      <x:c r="C219" s="2"/>
      <x:c r="D219" s="2"/>
    </x:row>
    <x:row r="220">
      <x:c r="A220" s="2"/>
      <x:c r="B220" s="2"/>
      <x:c r="C220" s="2"/>
      <x:c r="D220" s="2"/>
    </x:row>
    <x:row r="221">
      <x:c r="A221" s="2"/>
      <x:c r="B221" s="2"/>
      <x:c r="C221" s="2"/>
      <x:c r="D221" s="2"/>
    </x:row>
    <x:row r="222">
      <x:c r="A222" s="2"/>
      <x:c r="B222" s="2"/>
      <x:c r="C222" s="2"/>
      <x:c r="D222" s="2"/>
    </x:row>
    <x:row r="223">
      <x:c r="A223" s="2"/>
      <x:c r="B223" s="2"/>
      <x:c r="C223" s="2"/>
      <x:c r="D223" s="2"/>
    </x:row>
    <x:row r="224">
      <x:c r="A224" s="2"/>
      <x:c r="B224" s="2"/>
      <x:c r="C224" s="2"/>
      <x:c r="D224" s="2"/>
    </x:row>
    <x:row r="225">
      <x:c r="A225" s="2"/>
      <x:c r="B225" s="2"/>
      <x:c r="C225" s="2"/>
      <x:c r="D225" s="2"/>
    </x:row>
    <x:row r="226">
      <x:c r="A226" s="2"/>
      <x:c r="B226" s="2"/>
      <x:c r="C226" s="2"/>
      <x:c r="D226" s="2"/>
    </x:row>
    <x:row r="227">
      <x:c r="A227" s="2"/>
      <x:c r="B227" s="2"/>
      <x:c r="C227" s="2"/>
      <x:c r="D227" s="2"/>
    </x:row>
    <x:row r="228">
      <x:c r="A228" s="2"/>
      <x:c r="B228" s="2"/>
      <x:c r="C228" s="2"/>
      <x:c r="D228" s="2"/>
    </x:row>
    <x:row r="229">
      <x:c r="A229" s="2"/>
      <x:c r="B229" s="2"/>
      <x:c r="C229" s="2"/>
      <x:c r="D229" s="2"/>
    </x:row>
    <x:row r="230">
      <x:c r="A230" s="2"/>
      <x:c r="B230" s="2"/>
      <x:c r="C230" s="2"/>
      <x:c r="D230" s="2"/>
    </x:row>
    <x:row r="231">
      <x:c r="A231" s="2"/>
      <x:c r="B231" s="2"/>
      <x:c r="C231" s="2"/>
      <x:c r="D231" s="2"/>
    </x:row>
    <x:row r="232">
      <x:c r="A232" s="2"/>
      <x:c r="B232" s="2"/>
      <x:c r="C232" s="2"/>
      <x:c r="D232" s="2"/>
    </x:row>
    <x:row r="233">
      <x:c r="A233" s="2"/>
      <x:c r="B233" s="2"/>
      <x:c r="C233" s="2"/>
      <x:c r="D233" s="2"/>
    </x:row>
    <x:row r="234">
      <x:c r="A234" s="2"/>
      <x:c r="B234" s="2"/>
      <x:c r="C234" s="2"/>
      <x:c r="D234" s="2"/>
    </x:row>
    <x:row r="235">
      <x:c r="A235" s="2"/>
      <x:c r="B235" s="2"/>
      <x:c r="C235" s="2"/>
      <x:c r="D235" s="2"/>
    </x:row>
    <x:row r="236">
      <x:c r="A236" s="2"/>
      <x:c r="B236" s="2"/>
      <x:c r="C236" s="2"/>
      <x:c r="D236" s="2"/>
    </x:row>
    <x:row r="237">
      <x:c r="A237" s="2"/>
      <x:c r="B237" s="2"/>
      <x:c r="C237" s="2"/>
      <x:c r="D237" s="2"/>
    </x:row>
    <x:row r="238">
      <x:c r="A238" s="2"/>
      <x:c r="B238" s="2"/>
      <x:c r="C238" s="2"/>
      <x:c r="D238" s="2"/>
    </x:row>
    <x:row r="239">
      <x:c r="A239" s="2"/>
      <x:c r="B239" s="2"/>
      <x:c r="C239" s="2"/>
      <x:c r="D239" s="2"/>
    </x:row>
    <x:row r="240">
      <x:c r="A240" s="2"/>
      <x:c r="B240" s="2"/>
      <x:c r="C240" s="2"/>
      <x:c r="D240" s="2"/>
    </x:row>
    <x:row r="241">
      <x:c r="A241" s="2"/>
      <x:c r="B241" s="2"/>
      <x:c r="C241" s="2"/>
      <x:c r="D241" s="2"/>
    </x:row>
    <x:row r="242">
      <x:c r="A242" s="2"/>
      <x:c r="B242" s="2"/>
      <x:c r="C242" s="2"/>
      <x:c r="D242" s="2"/>
    </x:row>
    <x:row r="243">
      <x:c r="A243" s="2"/>
      <x:c r="B243" s="2"/>
      <x:c r="C243" s="2"/>
      <x:c r="D243" s="2"/>
    </x:row>
    <x:row r="244">
      <x:c r="A244" s="2"/>
      <x:c r="B244" s="2"/>
      <x:c r="C244" s="2"/>
      <x:c r="D244" s="2"/>
    </x:row>
    <x:row r="245">
      <x:c r="A245" s="2"/>
      <x:c r="B245" s="2"/>
      <x:c r="C245" s="2"/>
      <x:c r="D245" s="2"/>
    </x:row>
    <x:row r="246">
      <x:c r="A246" s="2"/>
      <x:c r="B246" s="2"/>
      <x:c r="C246" s="2"/>
      <x:c r="D246" s="2"/>
    </x:row>
    <x:row r="247">
      <x:c r="A247" s="2"/>
      <x:c r="B247" s="2"/>
      <x:c r="C247" s="2"/>
      <x:c r="D247" s="2"/>
    </x:row>
    <x:row r="248">
      <x:c r="A248" s="2"/>
      <x:c r="B248" s="2"/>
      <x:c r="C248" s="2"/>
      <x:c r="D248" s="2"/>
    </x:row>
    <x:row r="249">
      <x:c r="A249" s="2"/>
      <x:c r="B249" s="2"/>
      <x:c r="C249" s="2"/>
      <x:c r="D249" s="2"/>
    </x:row>
    <x:row r="250">
      <x:c r="A250" s="2"/>
      <x:c r="B250" s="2"/>
      <x:c r="C250" s="2"/>
      <x:c r="D250" s="2"/>
    </x:row>
    <x:row r="251">
      <x:c r="A251" s="2"/>
      <x:c r="B251" s="2"/>
      <x:c r="C251" s="2"/>
      <x:c r="D251" s="2"/>
    </x:row>
    <x:row r="252">
      <x:c r="A252" s="2"/>
      <x:c r="B252" s="2"/>
      <x:c r="C252" s="2"/>
      <x:c r="D252" s="2"/>
    </x:row>
    <x:row r="253">
      <x:c r="A253" s="2"/>
      <x:c r="B253" s="2"/>
      <x:c r="C253" s="2"/>
      <x:c r="D253" s="2"/>
    </x:row>
    <x:row r="254">
      <x:c r="A254" s="2"/>
      <x:c r="B254" s="2"/>
      <x:c r="C254" s="2"/>
      <x:c r="D254" s="2"/>
    </x:row>
    <x:row r="255">
      <x:c r="A255" s="2"/>
      <x:c r="B255" s="2"/>
      <x:c r="C255" s="2"/>
      <x:c r="D255" s="2"/>
    </x:row>
    <x:row r="256">
      <x:c r="A256" s="2"/>
      <x:c r="B256" s="2"/>
      <x:c r="C256" s="2"/>
      <x:c r="D256" s="2"/>
    </x:row>
    <x:row r="257">
      <x:c r="A257" s="2"/>
      <x:c r="B257" s="2"/>
      <x:c r="C257" s="2"/>
      <x:c r="D257" s="2"/>
    </x:row>
    <x:row r="258">
      <x:c r="A258" s="2"/>
      <x:c r="B258" s="2"/>
      <x:c r="C258" s="2"/>
      <x:c r="D258" s="2"/>
    </x:row>
    <x:row r="259">
      <x:c r="A259" s="2"/>
      <x:c r="B259" s="2"/>
      <x:c r="C259" s="2"/>
      <x:c r="D259" s="2"/>
    </x:row>
    <x:row r="260">
      <x:c r="A260" s="2"/>
      <x:c r="B260" s="2"/>
      <x:c r="C260" s="2"/>
      <x:c r="D260" s="2"/>
    </x:row>
    <x:row r="261">
      <x:c r="A261" s="2"/>
      <x:c r="B261" s="2"/>
      <x:c r="C261" s="2"/>
      <x:c r="D261" s="2"/>
    </x:row>
    <x:row r="262">
      <x:c r="A262" s="2"/>
      <x:c r="B262" s="2"/>
      <x:c r="C262" s="2"/>
      <x:c r="D262" s="2"/>
    </x:row>
    <x:row r="263">
      <x:c r="A263" s="2"/>
      <x:c r="B263" s="2"/>
      <x:c r="C263" s="2"/>
      <x:c r="D263" s="2"/>
    </x:row>
    <x:row r="264">
      <x:c r="A264" s="2"/>
      <x:c r="B264" s="2"/>
      <x:c r="C264" s="2"/>
      <x:c r="D264" s="2"/>
    </x:row>
    <x:row r="265">
      <x:c r="A265" s="2"/>
      <x:c r="B265" s="2"/>
      <x:c r="C265" s="2"/>
      <x:c r="D265" s="2"/>
    </x:row>
    <x:row r="266">
      <x:c r="A266" s="2"/>
      <x:c r="B266" s="2"/>
      <x:c r="C266" s="2"/>
      <x:c r="D266" s="2"/>
    </x:row>
    <x:row r="267">
      <x:c r="A267" s="2"/>
      <x:c r="B267" s="2"/>
      <x:c r="C267" s="2"/>
      <x:c r="D267" s="2"/>
    </x:row>
    <x:row r="268">
      <x:c r="A268" s="2"/>
      <x:c r="B268" s="2"/>
      <x:c r="C268" s="2"/>
      <x:c r="D268" s="2"/>
    </x:row>
    <x:row r="269">
      <x:c r="A269" s="2"/>
      <x:c r="B269" s="2"/>
      <x:c r="C269" s="2"/>
      <x:c r="D269" s="2"/>
    </x:row>
    <x:row r="270">
      <x:c r="A270" s="2"/>
      <x:c r="B270" s="2"/>
      <x:c r="C270" s="2"/>
      <x:c r="D270" s="2"/>
    </x:row>
    <x:row r="271">
      <x:c r="A271" s="2"/>
      <x:c r="B271" s="2"/>
      <x:c r="C271" s="2"/>
      <x:c r="D271" s="2"/>
    </x:row>
    <x:row r="272">
      <x:c r="A272" s="2"/>
      <x:c r="B272" s="2"/>
      <x:c r="C272" s="2"/>
      <x:c r="D272" s="2"/>
    </x:row>
    <x:row r="273">
      <x:c r="A273" s="2"/>
      <x:c r="B273" s="2"/>
      <x:c r="C273" s="2"/>
      <x:c r="D273" s="2"/>
    </x:row>
    <x:row r="274">
      <x:c r="A274" s="2"/>
      <x:c r="B274" s="2"/>
      <x:c r="C274" s="2"/>
      <x:c r="D274" s="2"/>
    </x:row>
    <x:row r="275">
      <x:c r="A275" s="2"/>
      <x:c r="B275" s="2"/>
      <x:c r="C275" s="2"/>
      <x:c r="D275" s="2"/>
    </x:row>
    <x:row r="276">
      <x:c r="A276" s="2"/>
      <x:c r="B276" s="2"/>
      <x:c r="C276" s="2"/>
      <x:c r="D276" s="2"/>
    </x:row>
    <x:row r="277">
      <x:c r="A277" s="2"/>
      <x:c r="B277" s="2"/>
      <x:c r="C277" s="2"/>
      <x:c r="D277" s="2"/>
    </x:row>
    <x:row r="278">
      <x:c r="A278" s="2"/>
      <x:c r="B278" s="2"/>
      <x:c r="C278" s="2"/>
      <x:c r="D278" s="2"/>
    </x:row>
    <x:row r="279">
      <x:c r="A279" s="2"/>
      <x:c r="B279" s="2"/>
      <x:c r="C279" s="2"/>
      <x:c r="D279" s="2"/>
    </x:row>
    <x:row r="280">
      <x:c r="A280" s="2"/>
      <x:c r="B280" s="2"/>
      <x:c r="C280" s="2"/>
      <x:c r="D280" s="2"/>
    </x:row>
    <x:row r="281">
      <x:c r="A281" s="2"/>
      <x:c r="B281" s="2"/>
      <x:c r="C281" s="2"/>
      <x:c r="D281" s="2"/>
    </x:row>
    <x:row r="282">
      <x:c r="A282" s="2"/>
      <x:c r="B282" s="2"/>
      <x:c r="C282" s="2"/>
      <x:c r="D282" s="2"/>
    </x:row>
    <x:row r="283">
      <x:c r="A283" s="2"/>
      <x:c r="B283" s="2"/>
      <x:c r="C283" s="2"/>
      <x:c r="D283" s="2"/>
    </x:row>
    <x:row r="284">
      <x:c r="A284" s="2"/>
      <x:c r="B284" s="2"/>
      <x:c r="C284" s="2"/>
      <x:c r="D284" s="2"/>
    </x:row>
    <x:row r="285">
      <x:c r="A285" s="2"/>
      <x:c r="B285" s="2"/>
      <x:c r="C285" s="2"/>
      <x:c r="D285" s="2"/>
    </x:row>
    <x:row r="286">
      <x:c r="A286" s="2"/>
      <x:c r="B286" s="2"/>
      <x:c r="C286" s="2"/>
      <x:c r="D286" s="2"/>
    </x:row>
    <x:row r="287">
      <x:c r="A287" s="2"/>
      <x:c r="B287" s="2"/>
      <x:c r="C287" s="2"/>
      <x:c r="D287" s="2"/>
    </x:row>
    <x:row r="288">
      <x:c r="A288" s="2"/>
      <x:c r="B288" s="2"/>
      <x:c r="C288" s="2"/>
      <x:c r="D288" s="2"/>
    </x:row>
    <x:row r="289">
      <x:c r="A289" s="2"/>
      <x:c r="B289" s="2"/>
      <x:c r="C289" s="2"/>
      <x:c r="D289" s="2"/>
    </x:row>
    <x:row r="290">
      <x:c r="A290" s="2"/>
      <x:c r="B290" s="2"/>
      <x:c r="C290" s="2"/>
      <x:c r="D290" s="2"/>
    </x:row>
    <x:row r="291">
      <x:c r="A291" s="2"/>
      <x:c r="B291" s="2"/>
      <x:c r="C291" s="2"/>
      <x:c r="D291" s="2"/>
    </x:row>
    <x:row r="292">
      <x:c r="A292" s="2"/>
      <x:c r="B292" s="2"/>
      <x:c r="C292" s="2"/>
      <x:c r="D292" s="2"/>
    </x:row>
    <x:row r="293">
      <x:c r="A293" s="2"/>
      <x:c r="B293" s="2"/>
      <x:c r="C293" s="2"/>
      <x:c r="D293" s="2"/>
    </x:row>
    <x:row r="294">
      <x:c r="A294" s="2"/>
      <x:c r="B294" s="2"/>
      <x:c r="C294" s="2"/>
      <x:c r="D294" s="2"/>
    </x:row>
    <x:row r="295">
      <x:c r="A295" s="2"/>
      <x:c r="B295" s="2"/>
      <x:c r="C295" s="2"/>
      <x:c r="D295" s="2"/>
    </x:row>
    <x:row r="296">
      <x:c r="A296" s="2"/>
      <x:c r="B296" s="2"/>
      <x:c r="C296" s="2"/>
      <x:c r="D296" s="2"/>
    </x:row>
    <x:row r="297">
      <x:c r="A297" s="2"/>
      <x:c r="B297" s="2"/>
      <x:c r="C297" s="2"/>
      <x:c r="D297" s="2"/>
    </x:row>
    <x:row r="298">
      <x:c r="A298" s="2"/>
      <x:c r="B298" s="2"/>
      <x:c r="C298" s="2"/>
      <x:c r="D298" s="2"/>
    </x:row>
    <x:row r="299">
      <x:c r="A299" s="2"/>
      <x:c r="B299" s="2"/>
      <x:c r="C299" s="2"/>
      <x:c r="D299" s="2"/>
    </x:row>
    <x:row r="300">
      <x:c r="A300" s="2"/>
      <x:c r="B300" s="2"/>
      <x:c r="C300" s="2"/>
      <x:c r="D300" s="2"/>
    </x:row>
  </x:sheetData>
  <x:mergeCells>
    <x:mergeCell ref="A1:D1"/>
    <x:mergeCell ref="A2:D2"/>
  </x:mergeCells>
  <x:pageMargins left="0.7" right="0.7" top="0.75" bottom="0.75" header="0.3" footer="0.3"/>
</x:worksheet>
</file>